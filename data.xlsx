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2" sheetId="1" r:id="rId1"/>
  </sheets>
  <definedNames>
    <definedName name="_xlnm._FilterDatabase" localSheetId="0" hidden="1">Sheet2!$O$1:$O$383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<sst xmlns="http://schemas.openxmlformats.org/spreadsheetml/2006/main" count="809" uniqueCount="41">
  <si>
    <t>D</t>
  </si>
  <si>
    <t>t</t>
  </si>
  <si>
    <t>D/t</t>
  </si>
  <si>
    <t>H</t>
  </si>
  <si>
    <t>H/D</t>
  </si>
  <si>
    <t>T</t>
  </si>
  <si>
    <t>TH</t>
  </si>
  <si>
    <t>TEI</t>
  </si>
  <si>
    <t>CM</t>
  </si>
  <si>
    <t>FY</t>
  </si>
  <si>
    <t>FC</t>
  </si>
  <si>
    <t>NUT</t>
  </si>
  <si>
    <t>NUT/NUO</t>
  </si>
  <si>
    <t>source paper</t>
  </si>
  <si>
    <t>UN</t>
  </si>
  <si>
    <t>Experimental behavior of axially loaded circular high-strength concrete-filled high-strength steel tubular stub columns after exposure to fire</t>
  </si>
  <si>
    <t>NC</t>
  </si>
  <si>
    <t>Axial compression performance of rubberized concrete-filled steel tubular stub columns after fire exposure</t>
  </si>
  <si>
    <t>90</t>
  </si>
  <si>
    <t>Experimental study on the axial behavior of UHPC filled high-strength circular steel tube columns after post-fire rapid cooling</t>
  </si>
  <si>
    <t>WC</t>
  </si>
  <si>
    <t>Pre- and post-heating behavior of concrete-filled steel tube stub columns containing steel fiber and tire rubber</t>
  </si>
  <si>
    <t>Behaviour of concrete-Filled steel tube having granulated blast furnace slag as fine aggregate in normal strength concrete after exposure to elevated temperature</t>
  </si>
  <si>
    <t>Test on Axial Compression Performance and Residual Bearing Capacity Assessment of Recycled Concrete Filled Circular Steel Tube After Exposure to High Temperatures and Water Cooling</t>
  </si>
  <si>
    <t>65</t>
  </si>
  <si>
    <t>100</t>
  </si>
  <si>
    <t>200</t>
  </si>
  <si>
    <t>350</t>
  </si>
  <si>
    <t>Experimental study on the high temperature performance of UHPCFST stub columns at different concrete age</t>
  </si>
  <si>
    <t>800</t>
  </si>
  <si>
    <t>Post-fire mechanical behaviour of ultra-high-performance concrete-filled steel tube (UHPCFST) stub columns under compression</t>
  </si>
  <si>
    <t>Compression performance of ultra-high performance concrete filled steel tube(UHPCFST) columns exposed to elevated temperature during construction</t>
  </si>
  <si>
    <t>Post-Fire Exposure Behavior of Circular Concrete-filled Steel Tube Column under Axial Loading</t>
  </si>
  <si>
    <t>Experimental Investigation on Post-fire Response of Concrete-Filled Steel Tube Column Subjected to Elevated Temperature</t>
  </si>
  <si>
    <t>Mechanical behavior of recycled aggregate concrete-filled steel tube stub columns after exposure to elevated temperatures</t>
  </si>
  <si>
    <t>Behaviours of circular high-strength concrete-filled high-strength steel tubular columns after constant heating</t>
  </si>
  <si>
    <t>Post-fire behaviour of circular high-strength concrete-filled high-strength steel tubular stub columns under axial compression</t>
  </si>
  <si>
    <t>Circular recycled aggregate concrete-filled stainless steel tube stub columns after exposure to fire: Experiments, simulations, and design</t>
  </si>
  <si>
    <t>He, Liang and Zhao, Behaviour and residual compression resistances of circular high strength concrete-filled stainless steel tube (HCFSST) stub columns after exposure to fire | Engineering Structures | 2019 | 10.1016/j.engstruct.2019.109897 | Tables 1-4; concrete strength reported as cylinder strength</t>
  </si>
  <si>
    <t>Buckling behaviour of high-strength concrete-filled high-strength steel tubular columns after fire exposure</t>
  </si>
  <si>
    <t xml:space="preserve"> Compressive behavior of concrete-filled stainless steel tube stub columns post-fire | Journal of Constructional Steel Research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</si>
</sst>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00"/>
  </numFmts>
  <fonts count="19"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/>
      <top style="thin">
        <color rgb="FFD9D9D9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9" borderId="7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8">
      <alignment vertical="center"/>
    </xf>
    <xf numFmtId="0" fontId="8" fillId="0" borderId="8">
      <alignment vertical="center"/>
    </xf>
    <xf numFmtId="0" fontId="9" fillId="0" borderId="9">
      <alignment vertical="center"/>
    </xf>
    <xf numFmtId="0" fontId="9" fillId="0" borderId="0">
      <alignment vertical="center"/>
    </xf>
    <xf numFmtId="0" fontId="10" fillId="10" borderId="10">
      <alignment vertical="center"/>
    </xf>
    <xf numFmtId="0" fontId="11" fillId="11" borderId="11">
      <alignment vertical="center"/>
    </xf>
    <xf numFmtId="0" fontId="12" fillId="11" borderId="10">
      <alignment vertical="center"/>
    </xf>
    <xf numFmtId="0" fontId="13" fillId="12" borderId="12">
      <alignment vertical="center"/>
    </xf>
    <xf numFmtId="0" fontId="14" fillId="0" borderId="13">
      <alignment vertical="center"/>
    </xf>
    <xf numFmtId="0" fontId="1" fillId="0" borderId="14">
      <alignment vertical="center"/>
    </xf>
    <xf numFmtId="0" fontId="15" fillId="13" borderId="0">
      <alignment vertical="center"/>
    </xf>
    <xf numFmtId="0" fontId="16" fillId="14" borderId="0">
      <alignment vertical="center"/>
    </xf>
    <xf numFmtId="0" fontId="17" fillId="15" borderId="0">
      <alignment vertical="center"/>
    </xf>
    <xf numFmtId="0" fontId="18" fillId="16" borderId="0">
      <alignment vertical="center"/>
    </xf>
    <xf numFmtId="0" fontId="0" fillId="17" borderId="0">
      <alignment vertical="center"/>
    </xf>
    <xf numFmtId="0" fontId="0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0" fillId="21" borderId="0">
      <alignment vertical="center"/>
    </xf>
    <xf numFmtId="0" fontId="0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0" fillId="25" borderId="0">
      <alignment vertical="center"/>
    </xf>
    <xf numFmtId="0" fontId="0" fillId="26" borderId="0">
      <alignment vertical="center"/>
    </xf>
    <xf numFmtId="0" fontId="18" fillId="27" borderId="0">
      <alignment vertical="center"/>
    </xf>
    <xf numFmtId="0" fontId="18" fillId="28" borderId="0">
      <alignment vertical="center"/>
    </xf>
    <xf numFmtId="0" fontId="0" fillId="29" borderId="0">
      <alignment vertical="center"/>
    </xf>
    <xf numFmtId="0" fontId="0" fillId="30" borderId="0">
      <alignment vertical="center"/>
    </xf>
    <xf numFmtId="0" fontId="18" fillId="31" borderId="0">
      <alignment vertical="center"/>
    </xf>
    <xf numFmtId="0" fontId="18" fillId="32" borderId="0">
      <alignment vertical="center"/>
    </xf>
    <xf numFmtId="0" fontId="0" fillId="33" borderId="0">
      <alignment vertical="center"/>
    </xf>
    <xf numFmtId="0" fontId="0" fillId="34" borderId="0">
      <alignment vertical="center"/>
    </xf>
    <xf numFmtId="0" fontId="18" fillId="35" borderId="0">
      <alignment vertical="center"/>
    </xf>
    <xf numFmtId="0" fontId="18" fillId="36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18" fillId="39" borderId="0">
      <alignment vertical="center"/>
    </xf>
  </cellStyleXfs>
  <cellXfs count="83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177" fontId="2" fillId="4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77" fontId="2" fillId="4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77" fontId="0" fillId="4" borderId="3" xfId="0" applyNumberFormat="1" applyFill="1" applyBorder="1" applyAlignment="1">
      <alignment horizontal="center" vertical="center" wrapText="1"/>
    </xf>
    <xf numFmtId="176" fontId="0" fillId="4" borderId="3" xfId="0" applyNumberFormat="1" applyFill="1" applyBorder="1" applyAlignment="1">
      <alignment horizontal="center" vertical="center" wrapText="1"/>
    </xf>
    <xf numFmtId="177" fontId="0" fillId="4" borderId="4" xfId="0" applyNumberFormat="1" applyFill="1" applyBorder="1" applyAlignment="1">
      <alignment horizontal="center" vertical="center" wrapText="1"/>
    </xf>
    <xf numFmtId="177" fontId="2" fillId="2" borderId="3" xfId="0" applyNumberFormat="1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77" fontId="2" fillId="2" borderId="6" xfId="0" applyNumberFormat="1" applyFont="1" applyFill="1" applyBorder="1" applyAlignment="1">
      <alignment horizontal="center" vertical="center" wrapText="1"/>
    </xf>
    <xf numFmtId="177" fontId="0" fillId="2" borderId="6" xfId="0" applyNumberFormat="1" applyFill="1" applyBorder="1" applyAlignment="1">
      <alignment horizontal="center" vertical="center" wrapText="1"/>
    </xf>
    <xf numFmtId="177" fontId="0" fillId="2" borderId="3" xfId="0" applyNumberFormat="1" applyFill="1" applyBorder="1" applyAlignment="1">
      <alignment horizontal="center" vertical="center" wrapText="1"/>
    </xf>
    <xf numFmtId="176" fontId="0" fillId="2" borderId="3" xfId="0" applyNumberForma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77" fontId="2" fillId="5" borderId="3" xfId="0" applyNumberFormat="1" applyFont="1" applyFill="1" applyBorder="1" applyAlignment="1">
      <alignment horizontal="center" vertical="center" wrapText="1"/>
    </xf>
    <xf numFmtId="176" fontId="2" fillId="5" borderId="3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177" fontId="2" fillId="5" borderId="6" xfId="0" applyNumberFormat="1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177" fontId="0" fillId="5" borderId="3" xfId="0" applyNumberFormat="1" applyFill="1" applyBorder="1" applyAlignment="1">
      <alignment horizontal="center" vertical="center" wrapText="1"/>
    </xf>
    <xf numFmtId="176" fontId="0" fillId="5" borderId="3" xfId="0" applyNumberForma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177" fontId="0" fillId="5" borderId="6" xfId="0" applyNumberFormat="1" applyFill="1" applyBorder="1" applyAlignment="1">
      <alignment horizontal="center" vertical="center" wrapText="1"/>
    </xf>
    <xf numFmtId="177" fontId="2" fillId="6" borderId="3" xfId="0" applyNumberFormat="1" applyFont="1" applyFill="1" applyBorder="1" applyAlignment="1">
      <alignment horizontal="center" vertical="center" wrapText="1"/>
    </xf>
    <xf numFmtId="176" fontId="2" fillId="6" borderId="3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177" fontId="2" fillId="6" borderId="6" xfId="0" applyNumberFormat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177" fontId="0" fillId="6" borderId="3" xfId="0" applyNumberFormat="1" applyFill="1" applyBorder="1" applyAlignment="1">
      <alignment horizontal="center" vertical="center" wrapText="1"/>
    </xf>
    <xf numFmtId="176" fontId="0" fillId="6" borderId="3" xfId="0" applyNumberForma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177" fontId="0" fillId="6" borderId="6" xfId="0" applyNumberForma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176" fontId="0" fillId="5" borderId="3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176" fontId="2" fillId="7" borderId="3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76" fontId="0" fillId="7" borderId="3" xfId="0" applyNumberForma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176" fontId="2" fillId="8" borderId="3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176" fontId="0" fillId="8" borderId="3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176" fontId="0" fillId="6" borderId="3" xfId="0" applyNumberForma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K383"/>
  <sheetViews>
    <sheetView tabSelected="1" zoomScale="40" zoomScaleNormal="40" workbookViewId="0">
      <pane ySplit="1" topLeftCell="A240" activePane="bottomLeft" state="frozen"/>
      <selection/>
      <selection pane="bottomLeft" activeCell="M1" sqref="M1"/>
    </sheetView>
  </sheetViews>
  <sheetFormatPr defaultColWidth="9" defaultRowHeight="14.4"/>
  <cols>
    <col min="1" max="1" width="11.1111111111111" style="3" customWidth="1"/>
    <col min="2" max="2" width="8" style="3" customWidth="1"/>
    <col min="3" max="3" width="9.87962962962963" style="3" customWidth="1"/>
    <col min="4" max="4" width="29.4444444444444" style="3" customWidth="1"/>
    <col min="5" max="6" width="17.5" style="3" customWidth="1"/>
    <col min="7" max="7" width="13.8888888888889" style="4" customWidth="1"/>
    <col min="8" max="8" width="19.7777777777778" style="3" customWidth="1"/>
    <col min="9" max="9" width="35.3518518518519" style="1" customWidth="1"/>
    <col min="10" max="10" width="23.3796296296296" style="3" customWidth="1"/>
    <col min="11" max="11" width="25.3796296296296" style="3" customWidth="1"/>
    <col min="12" max="12" width="12" style="3" customWidth="1"/>
    <col min="13" max="13" width="25.3796296296296" style="3" customWidth="1"/>
    <col min="14" max="14" width="190.5" style="3" customWidth="1"/>
    <col min="15" max="219" width="9" style="3" customWidth="1"/>
  </cols>
  <sheetData>
    <row r="1" s="1" customFormat="1" ht="40" customHeight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</row>
    <row r="2" ht="28.8" customHeight="1" spans="1:14">
      <c r="A2" s="9">
        <v>140</v>
      </c>
      <c r="B2" s="9">
        <v>6.06</v>
      </c>
      <c r="C2" s="9">
        <v>23.1023102310231</v>
      </c>
      <c r="D2" s="9">
        <v>420</v>
      </c>
      <c r="E2" s="10">
        <f t="array" ref="E2:E277">D2:D277/A2:A277</f>
        <v>3</v>
      </c>
      <c r="F2" s="10">
        <v>20</v>
      </c>
      <c r="G2" s="11">
        <v>0</v>
      </c>
      <c r="H2" s="10">
        <v>0</v>
      </c>
      <c r="I2" s="12" t="s">
        <v>14</v>
      </c>
      <c r="J2" s="9">
        <v>405.7</v>
      </c>
      <c r="K2" s="9">
        <v>58.5</v>
      </c>
      <c r="L2" s="9">
        <v>2078.2</v>
      </c>
      <c r="M2" s="13">
        <v>1</v>
      </c>
      <c r="N2" s="14" t="s">
        <v>15</v>
      </c>
    </row>
    <row r="3" ht="28.8" customHeight="1" spans="1:14">
      <c r="A3" s="15">
        <v>140.5</v>
      </c>
      <c r="B3" s="15">
        <v>6.17</v>
      </c>
      <c r="C3" s="15">
        <v>22.7714748784441</v>
      </c>
      <c r="D3" s="15">
        <v>420</v>
      </c>
      <c r="E3" s="16">
        <v>2.98932384341637</v>
      </c>
      <c r="F3" s="16">
        <v>20</v>
      </c>
      <c r="G3" s="11">
        <v>0</v>
      </c>
      <c r="H3" s="16">
        <v>0</v>
      </c>
      <c r="I3" s="12" t="s">
        <v>14</v>
      </c>
      <c r="J3" s="15">
        <v>405.7</v>
      </c>
      <c r="K3" s="15">
        <v>58.5</v>
      </c>
      <c r="L3" s="15">
        <v>2015.8</v>
      </c>
      <c r="M3" s="17">
        <v>1</v>
      </c>
      <c r="N3" s="14" t="s">
        <v>15</v>
      </c>
    </row>
    <row r="4" ht="28.8" customHeight="1" spans="1:14">
      <c r="A4" s="15">
        <v>140</v>
      </c>
      <c r="B4" s="15">
        <v>6.13</v>
      </c>
      <c r="C4" s="15">
        <v>22.8384991843393</v>
      </c>
      <c r="D4" s="15">
        <v>420</v>
      </c>
      <c r="E4" s="16">
        <v>3</v>
      </c>
      <c r="F4" s="16">
        <v>20</v>
      </c>
      <c r="G4" s="11">
        <v>0</v>
      </c>
      <c r="H4" s="16">
        <v>0</v>
      </c>
      <c r="I4" s="12" t="s">
        <v>14</v>
      </c>
      <c r="J4" s="15">
        <v>405.7</v>
      </c>
      <c r="K4" s="15">
        <v>58.5</v>
      </c>
      <c r="L4" s="15">
        <v>2068.3</v>
      </c>
      <c r="M4" s="17">
        <v>1</v>
      </c>
      <c r="N4" s="14" t="s">
        <v>15</v>
      </c>
    </row>
    <row r="5" ht="28.8" customHeight="1" spans="1:14">
      <c r="A5" s="18">
        <v>140</v>
      </c>
      <c r="B5" s="18">
        <v>6.01</v>
      </c>
      <c r="C5" s="18">
        <v>23.2945091514143</v>
      </c>
      <c r="D5" s="18">
        <v>420</v>
      </c>
      <c r="E5" s="14">
        <v>3</v>
      </c>
      <c r="F5" s="14">
        <v>900</v>
      </c>
      <c r="G5" s="19">
        <v>45</v>
      </c>
      <c r="H5" s="14">
        <v>33750</v>
      </c>
      <c r="I5" s="12" t="s">
        <v>16</v>
      </c>
      <c r="J5" s="20">
        <v>405.7</v>
      </c>
      <c r="K5" s="18">
        <v>58.5</v>
      </c>
      <c r="L5" s="18">
        <v>1760.2</v>
      </c>
      <c r="M5" s="17">
        <v>0.856920305730003</v>
      </c>
      <c r="N5" s="14" t="s">
        <v>15</v>
      </c>
    </row>
    <row r="6" ht="28.8" customHeight="1" spans="1:14">
      <c r="A6" s="18">
        <v>140.25</v>
      </c>
      <c r="B6" s="18">
        <v>5.92</v>
      </c>
      <c r="C6" s="18">
        <v>23.6908783783784</v>
      </c>
      <c r="D6" s="18">
        <v>420</v>
      </c>
      <c r="E6" s="14">
        <v>2.99465240641711</v>
      </c>
      <c r="F6" s="14">
        <v>900</v>
      </c>
      <c r="G6" s="19">
        <v>45</v>
      </c>
      <c r="H6" s="14">
        <v>33750</v>
      </c>
      <c r="I6" s="12" t="s">
        <v>16</v>
      </c>
      <c r="J6" s="18">
        <v>405.7</v>
      </c>
      <c r="K6" s="18">
        <v>58.5</v>
      </c>
      <c r="L6" s="18">
        <v>1733.6</v>
      </c>
      <c r="M6" s="17">
        <v>0.843970595394577</v>
      </c>
      <c r="N6" s="14" t="s">
        <v>15</v>
      </c>
    </row>
    <row r="7" ht="28.8" customHeight="1" spans="1:14">
      <c r="A7" s="18">
        <v>140</v>
      </c>
      <c r="B7" s="18">
        <v>6.07</v>
      </c>
      <c r="C7" s="18">
        <v>23.0642504118616</v>
      </c>
      <c r="D7" s="18">
        <v>420</v>
      </c>
      <c r="E7" s="14">
        <v>3</v>
      </c>
      <c r="F7" s="14">
        <v>900</v>
      </c>
      <c r="G7" s="19">
        <v>45</v>
      </c>
      <c r="H7" s="14">
        <v>33750</v>
      </c>
      <c r="I7" s="12" t="s">
        <v>16</v>
      </c>
      <c r="J7" s="18">
        <v>405.7</v>
      </c>
      <c r="K7" s="18">
        <v>58.5</v>
      </c>
      <c r="L7" s="18">
        <v>1612.7</v>
      </c>
      <c r="M7" s="17">
        <v>0.785112701426416</v>
      </c>
      <c r="N7" s="14" t="s">
        <v>15</v>
      </c>
    </row>
    <row r="8" ht="28.8" customHeight="1" spans="1:14">
      <c r="A8" s="18">
        <v>140</v>
      </c>
      <c r="B8" s="18">
        <v>6.26</v>
      </c>
      <c r="C8" s="18">
        <v>22.3642172523962</v>
      </c>
      <c r="D8" s="18">
        <v>420</v>
      </c>
      <c r="E8" s="14">
        <v>3</v>
      </c>
      <c r="F8" s="14">
        <v>1000</v>
      </c>
      <c r="G8" s="19">
        <v>90</v>
      </c>
      <c r="H8" s="14">
        <v>76500</v>
      </c>
      <c r="I8" s="12" t="s">
        <v>16</v>
      </c>
      <c r="J8" s="20">
        <v>405.7</v>
      </c>
      <c r="K8" s="18">
        <v>58.5</v>
      </c>
      <c r="L8" s="18">
        <v>1082.6</v>
      </c>
      <c r="M8" s="17">
        <v>0.527043474027555</v>
      </c>
      <c r="N8" s="14" t="s">
        <v>15</v>
      </c>
    </row>
    <row r="9" ht="28.8" customHeight="1" spans="1:14">
      <c r="A9" s="18">
        <v>139.5</v>
      </c>
      <c r="B9" s="18">
        <v>6.15</v>
      </c>
      <c r="C9" s="18">
        <v>22.6829268292683</v>
      </c>
      <c r="D9" s="18">
        <v>420</v>
      </c>
      <c r="E9" s="14">
        <v>3.01075268817204</v>
      </c>
      <c r="F9" s="14">
        <v>1000</v>
      </c>
      <c r="G9" s="19">
        <v>90</v>
      </c>
      <c r="H9" s="14">
        <v>76500</v>
      </c>
      <c r="I9" s="12" t="s">
        <v>16</v>
      </c>
      <c r="J9" s="18">
        <v>405.7</v>
      </c>
      <c r="K9" s="18">
        <v>58.5</v>
      </c>
      <c r="L9" s="18">
        <v>1150.5</v>
      </c>
      <c r="M9" s="17">
        <v>0.560099313567986</v>
      </c>
      <c r="N9" s="14" t="s">
        <v>15</v>
      </c>
    </row>
    <row r="10" ht="28.8" customHeight="1" spans="1:14">
      <c r="A10" s="18">
        <v>140</v>
      </c>
      <c r="B10" s="18">
        <v>6.14</v>
      </c>
      <c r="C10" s="18">
        <v>22.8013029315961</v>
      </c>
      <c r="D10" s="18">
        <v>420</v>
      </c>
      <c r="E10" s="14">
        <v>3</v>
      </c>
      <c r="F10" s="14">
        <v>1000</v>
      </c>
      <c r="G10" s="19">
        <v>90</v>
      </c>
      <c r="H10" s="14">
        <v>76500</v>
      </c>
      <c r="I10" s="12" t="s">
        <v>16</v>
      </c>
      <c r="J10" s="18">
        <v>405.7</v>
      </c>
      <c r="K10" s="18">
        <v>58.5</v>
      </c>
      <c r="L10" s="18">
        <v>1200</v>
      </c>
      <c r="M10" s="17">
        <v>0.584197458741055</v>
      </c>
      <c r="N10" s="14" t="s">
        <v>15</v>
      </c>
    </row>
    <row r="11" ht="28.8" customHeight="1" spans="1:14">
      <c r="A11" s="15">
        <v>140</v>
      </c>
      <c r="B11" s="15">
        <v>6.19</v>
      </c>
      <c r="C11" s="15">
        <v>22.6171243941842</v>
      </c>
      <c r="D11" s="15">
        <v>420</v>
      </c>
      <c r="E11" s="16">
        <v>3</v>
      </c>
      <c r="F11" s="16">
        <v>20</v>
      </c>
      <c r="G11" s="11">
        <v>0</v>
      </c>
      <c r="H11" s="16">
        <v>0</v>
      </c>
      <c r="I11" s="12" t="s">
        <v>14</v>
      </c>
      <c r="J11" s="9">
        <v>405.7</v>
      </c>
      <c r="K11" s="15">
        <v>85.2</v>
      </c>
      <c r="L11" s="15">
        <v>2643.5</v>
      </c>
      <c r="M11" s="17">
        <v>1</v>
      </c>
      <c r="N11" s="14" t="s">
        <v>15</v>
      </c>
    </row>
    <row r="12" ht="28.8" customHeight="1" spans="1:14">
      <c r="A12" s="15">
        <v>140</v>
      </c>
      <c r="B12" s="15">
        <v>6.06</v>
      </c>
      <c r="C12" s="15">
        <v>23.1023102310231</v>
      </c>
      <c r="D12" s="15">
        <v>420</v>
      </c>
      <c r="E12" s="16">
        <v>3</v>
      </c>
      <c r="F12" s="16">
        <v>20</v>
      </c>
      <c r="G12" s="11">
        <v>0</v>
      </c>
      <c r="H12" s="16">
        <v>0</v>
      </c>
      <c r="I12" s="12" t="s">
        <v>14</v>
      </c>
      <c r="J12" s="15">
        <v>405.7</v>
      </c>
      <c r="K12" s="15">
        <v>85.2</v>
      </c>
      <c r="L12" s="15">
        <v>2584.6</v>
      </c>
      <c r="M12" s="17">
        <v>1</v>
      </c>
      <c r="N12" s="14" t="s">
        <v>15</v>
      </c>
    </row>
    <row r="13" ht="28.8" customHeight="1" spans="1:14">
      <c r="A13" s="15">
        <v>140</v>
      </c>
      <c r="B13" s="15">
        <v>6.03</v>
      </c>
      <c r="C13" s="15">
        <v>23.2172470978441</v>
      </c>
      <c r="D13" s="15">
        <v>420</v>
      </c>
      <c r="E13" s="16">
        <v>3</v>
      </c>
      <c r="F13" s="16">
        <v>20</v>
      </c>
      <c r="G13" s="11">
        <v>0</v>
      </c>
      <c r="H13" s="16">
        <v>0</v>
      </c>
      <c r="I13" s="12" t="s">
        <v>14</v>
      </c>
      <c r="J13" s="15">
        <v>405.7</v>
      </c>
      <c r="K13" s="15">
        <v>85.2</v>
      </c>
      <c r="L13" s="15">
        <v>2529.5</v>
      </c>
      <c r="M13" s="17">
        <v>1</v>
      </c>
      <c r="N13" s="14" t="s">
        <v>15</v>
      </c>
    </row>
    <row r="14" ht="28.8" customHeight="1" spans="1:14">
      <c r="A14" s="18">
        <v>140</v>
      </c>
      <c r="B14" s="18">
        <v>6.12</v>
      </c>
      <c r="C14" s="18">
        <v>22.875816993464</v>
      </c>
      <c r="D14" s="18">
        <v>420</v>
      </c>
      <c r="E14" s="14">
        <v>3</v>
      </c>
      <c r="F14" s="14">
        <v>900</v>
      </c>
      <c r="G14" s="19">
        <v>45</v>
      </c>
      <c r="H14" s="14">
        <v>33750</v>
      </c>
      <c r="I14" s="12" t="s">
        <v>16</v>
      </c>
      <c r="J14" s="20">
        <v>405.7</v>
      </c>
      <c r="K14" s="18">
        <v>85.2</v>
      </c>
      <c r="L14" s="18">
        <v>2161.2</v>
      </c>
      <c r="M14" s="17">
        <v>0.835773950706404</v>
      </c>
      <c r="N14" s="14" t="s">
        <v>15</v>
      </c>
    </row>
    <row r="15" ht="28.8" customHeight="1" spans="1:14">
      <c r="A15" s="18">
        <v>140</v>
      </c>
      <c r="B15" s="18">
        <v>5.99</v>
      </c>
      <c r="C15" s="18">
        <v>23.3722871452421</v>
      </c>
      <c r="D15" s="18">
        <v>420</v>
      </c>
      <c r="E15" s="14">
        <v>3</v>
      </c>
      <c r="F15" s="14">
        <v>900</v>
      </c>
      <c r="G15" s="19">
        <v>45</v>
      </c>
      <c r="H15" s="14">
        <v>33750</v>
      </c>
      <c r="I15" s="12" t="s">
        <v>16</v>
      </c>
      <c r="J15" s="18">
        <v>405.7</v>
      </c>
      <c r="K15" s="18">
        <v>85.2</v>
      </c>
      <c r="L15" s="18">
        <v>2188.5</v>
      </c>
      <c r="M15" s="17">
        <v>0.846331339589564</v>
      </c>
      <c r="N15" s="14" t="s">
        <v>15</v>
      </c>
    </row>
    <row r="16" ht="28.8" customHeight="1" spans="1:14">
      <c r="A16" s="18">
        <v>140</v>
      </c>
      <c r="B16" s="18">
        <v>6.18</v>
      </c>
      <c r="C16" s="18">
        <v>22.6537216828479</v>
      </c>
      <c r="D16" s="18">
        <v>420</v>
      </c>
      <c r="E16" s="14">
        <v>3</v>
      </c>
      <c r="F16" s="14">
        <v>900</v>
      </c>
      <c r="G16" s="19">
        <v>45</v>
      </c>
      <c r="H16" s="14">
        <v>33750</v>
      </c>
      <c r="I16" s="12" t="s">
        <v>16</v>
      </c>
      <c r="J16" s="18">
        <v>405.7</v>
      </c>
      <c r="K16" s="18">
        <v>85.2</v>
      </c>
      <c r="L16" s="18">
        <v>2312.7</v>
      </c>
      <c r="M16" s="17">
        <v>0.894361658244818</v>
      </c>
      <c r="N16" s="14" t="s">
        <v>15</v>
      </c>
    </row>
    <row r="17" ht="28.8" customHeight="1" spans="1:14">
      <c r="A17" s="18">
        <v>140</v>
      </c>
      <c r="B17" s="18">
        <v>6.05</v>
      </c>
      <c r="C17" s="18">
        <v>23.1404958677686</v>
      </c>
      <c r="D17" s="18">
        <v>420</v>
      </c>
      <c r="E17" s="14">
        <v>3</v>
      </c>
      <c r="F17" s="14">
        <v>1000</v>
      </c>
      <c r="G17" s="19">
        <v>90</v>
      </c>
      <c r="H17" s="14">
        <v>76500</v>
      </c>
      <c r="I17" s="12" t="s">
        <v>16</v>
      </c>
      <c r="J17" s="20">
        <v>405.7</v>
      </c>
      <c r="K17" s="18">
        <v>85.2</v>
      </c>
      <c r="L17" s="18">
        <v>1481.9</v>
      </c>
      <c r="M17" s="17">
        <v>0.573076724760235</v>
      </c>
      <c r="N17" s="14" t="s">
        <v>15</v>
      </c>
    </row>
    <row r="18" ht="28.8" customHeight="1" spans="1:14">
      <c r="A18" s="18">
        <v>140</v>
      </c>
      <c r="B18" s="18">
        <v>6.11</v>
      </c>
      <c r="C18" s="18">
        <v>22.9132569558101</v>
      </c>
      <c r="D18" s="18">
        <v>420</v>
      </c>
      <c r="E18" s="14">
        <v>3</v>
      </c>
      <c r="F18" s="14">
        <v>1000</v>
      </c>
      <c r="G18" s="19">
        <v>90</v>
      </c>
      <c r="H18" s="14">
        <v>76500</v>
      </c>
      <c r="I18" s="12" t="s">
        <v>16</v>
      </c>
      <c r="J18" s="18">
        <v>405.7</v>
      </c>
      <c r="K18" s="18">
        <v>85.2</v>
      </c>
      <c r="L18" s="18">
        <v>1412.9</v>
      </c>
      <c r="M18" s="17">
        <v>0.546393214396205</v>
      </c>
      <c r="N18" s="14" t="s">
        <v>15</v>
      </c>
    </row>
    <row r="19" ht="28.8" customHeight="1" spans="1:14">
      <c r="A19" s="18">
        <v>140</v>
      </c>
      <c r="B19" s="18">
        <v>6.19</v>
      </c>
      <c r="C19" s="18">
        <v>22.6171243941842</v>
      </c>
      <c r="D19" s="18">
        <v>420</v>
      </c>
      <c r="E19" s="14">
        <v>3</v>
      </c>
      <c r="F19" s="14">
        <v>1000</v>
      </c>
      <c r="G19" s="19">
        <v>90</v>
      </c>
      <c r="H19" s="14">
        <v>76500</v>
      </c>
      <c r="I19" s="12" t="s">
        <v>16</v>
      </c>
      <c r="J19" s="18">
        <v>405.7</v>
      </c>
      <c r="K19" s="18">
        <v>85.2</v>
      </c>
      <c r="L19" s="18">
        <v>1530.3</v>
      </c>
      <c r="M19" s="17">
        <v>0.591793853769207</v>
      </c>
      <c r="N19" s="14" t="s">
        <v>15</v>
      </c>
    </row>
    <row r="20" ht="28.8" customHeight="1" spans="1:14">
      <c r="A20" s="15">
        <v>140</v>
      </c>
      <c r="B20" s="15">
        <v>6.22</v>
      </c>
      <c r="C20" s="15">
        <v>22.508038585209</v>
      </c>
      <c r="D20" s="15">
        <v>420</v>
      </c>
      <c r="E20" s="16">
        <v>3</v>
      </c>
      <c r="F20" s="16">
        <v>20</v>
      </c>
      <c r="G20" s="11">
        <v>0</v>
      </c>
      <c r="H20" s="16">
        <v>0</v>
      </c>
      <c r="I20" s="12" t="s">
        <v>14</v>
      </c>
      <c r="J20" s="15">
        <v>745</v>
      </c>
      <c r="K20" s="15">
        <v>85.2</v>
      </c>
      <c r="L20" s="15">
        <v>3623.9</v>
      </c>
      <c r="M20" s="17">
        <v>1</v>
      </c>
      <c r="N20" s="14" t="s">
        <v>15</v>
      </c>
    </row>
    <row r="21" ht="28.8" customHeight="1" spans="1:14">
      <c r="A21" s="15">
        <v>140.17</v>
      </c>
      <c r="B21" s="15">
        <v>6.16</v>
      </c>
      <c r="C21" s="15">
        <v>22.7548701298701</v>
      </c>
      <c r="D21" s="15">
        <v>420</v>
      </c>
      <c r="E21" s="16">
        <v>2.99636156096169</v>
      </c>
      <c r="F21" s="16">
        <v>20</v>
      </c>
      <c r="G21" s="11">
        <v>0</v>
      </c>
      <c r="H21" s="16">
        <v>0</v>
      </c>
      <c r="I21" s="12" t="s">
        <v>14</v>
      </c>
      <c r="J21" s="15">
        <v>745</v>
      </c>
      <c r="K21" s="15">
        <v>85.2</v>
      </c>
      <c r="L21" s="15">
        <v>3551.7</v>
      </c>
      <c r="M21" s="17">
        <v>1</v>
      </c>
      <c r="N21" s="14" t="s">
        <v>15</v>
      </c>
    </row>
    <row r="22" ht="28.8" customHeight="1" spans="1:14">
      <c r="A22" s="18">
        <v>139.83</v>
      </c>
      <c r="B22" s="18">
        <v>6.19</v>
      </c>
      <c r="C22" s="18">
        <v>22.5896607431341</v>
      </c>
      <c r="D22" s="18">
        <v>420</v>
      </c>
      <c r="E22" s="14">
        <v>3.00364728599013</v>
      </c>
      <c r="F22" s="14">
        <v>900</v>
      </c>
      <c r="G22" s="19">
        <v>45</v>
      </c>
      <c r="H22" s="14">
        <v>33750</v>
      </c>
      <c r="I22" s="12" t="s">
        <v>16</v>
      </c>
      <c r="J22" s="18">
        <v>745</v>
      </c>
      <c r="K22" s="18">
        <v>85.2</v>
      </c>
      <c r="L22" s="18">
        <v>2456.3</v>
      </c>
      <c r="M22" s="17">
        <v>0.684625675901667</v>
      </c>
      <c r="N22" s="14" t="s">
        <v>15</v>
      </c>
    </row>
    <row r="23" ht="28.8" customHeight="1" spans="1:14">
      <c r="A23" s="18">
        <v>140.17</v>
      </c>
      <c r="B23" s="18">
        <v>6.2</v>
      </c>
      <c r="C23" s="18">
        <v>22.608064516129</v>
      </c>
      <c r="D23" s="18">
        <v>420</v>
      </c>
      <c r="E23" s="14">
        <v>2.99636156096169</v>
      </c>
      <c r="F23" s="14">
        <v>900</v>
      </c>
      <c r="G23" s="19">
        <v>45</v>
      </c>
      <c r="H23" s="14">
        <v>33750</v>
      </c>
      <c r="I23" s="12" t="s">
        <v>16</v>
      </c>
      <c r="J23" s="18">
        <v>745</v>
      </c>
      <c r="K23" s="18">
        <v>85.2</v>
      </c>
      <c r="L23" s="18">
        <v>2220.2</v>
      </c>
      <c r="M23" s="17">
        <v>0.618819332181281</v>
      </c>
      <c r="N23" s="14" t="s">
        <v>15</v>
      </c>
    </row>
    <row r="24" ht="28.8" customHeight="1" spans="1:14">
      <c r="A24" s="18">
        <v>140</v>
      </c>
      <c r="B24" s="18">
        <v>6.24</v>
      </c>
      <c r="C24" s="18">
        <v>22.4358974358974</v>
      </c>
      <c r="D24" s="18">
        <v>420</v>
      </c>
      <c r="E24" s="14">
        <v>3</v>
      </c>
      <c r="F24" s="14">
        <v>900</v>
      </c>
      <c r="G24" s="19">
        <v>45</v>
      </c>
      <c r="H24" s="14">
        <v>33750</v>
      </c>
      <c r="I24" s="12" t="s">
        <v>16</v>
      </c>
      <c r="J24" s="18">
        <v>745</v>
      </c>
      <c r="K24" s="18">
        <v>85.2</v>
      </c>
      <c r="L24" s="18">
        <v>2544.9</v>
      </c>
      <c r="M24" s="17">
        <v>0.709320474942862</v>
      </c>
      <c r="N24" s="14" t="s">
        <v>15</v>
      </c>
    </row>
    <row r="25" ht="28.8" customHeight="1" spans="1:14">
      <c r="A25" s="18">
        <v>140</v>
      </c>
      <c r="B25" s="18">
        <v>6.15</v>
      </c>
      <c r="C25" s="18">
        <v>22.7642276422764</v>
      </c>
      <c r="D25" s="18">
        <v>420</v>
      </c>
      <c r="E25" s="14">
        <v>3</v>
      </c>
      <c r="F25" s="14">
        <v>1000</v>
      </c>
      <c r="G25" s="19">
        <v>90</v>
      </c>
      <c r="H25" s="14">
        <v>76500</v>
      </c>
      <c r="I25" s="12" t="s">
        <v>16</v>
      </c>
      <c r="J25" s="18">
        <v>745</v>
      </c>
      <c r="K25" s="18">
        <v>85.2</v>
      </c>
      <c r="L25" s="18">
        <v>1514.9</v>
      </c>
      <c r="M25" s="17">
        <v>0.422236468030548</v>
      </c>
      <c r="N25" s="14" t="s">
        <v>15</v>
      </c>
    </row>
    <row r="26" ht="28.8" customHeight="1" spans="1:14">
      <c r="A26" s="18">
        <v>140</v>
      </c>
      <c r="B26" s="18">
        <v>6.17</v>
      </c>
      <c r="C26" s="18">
        <v>22.6904376012966</v>
      </c>
      <c r="D26" s="18">
        <v>420</v>
      </c>
      <c r="E26" s="14">
        <v>3</v>
      </c>
      <c r="F26" s="14">
        <v>1000</v>
      </c>
      <c r="G26" s="19">
        <v>90</v>
      </c>
      <c r="H26" s="14">
        <v>76500</v>
      </c>
      <c r="I26" s="12" t="s">
        <v>16</v>
      </c>
      <c r="J26" s="18">
        <v>745</v>
      </c>
      <c r="K26" s="18">
        <v>85.2</v>
      </c>
      <c r="L26" s="18">
        <v>1612.2</v>
      </c>
      <c r="M26" s="17">
        <v>0.449356151401973</v>
      </c>
      <c r="N26" s="14" t="s">
        <v>15</v>
      </c>
    </row>
    <row r="27" ht="28.8" customHeight="1" spans="1:14">
      <c r="A27" s="21">
        <v>219</v>
      </c>
      <c r="B27" s="21">
        <v>6</v>
      </c>
      <c r="C27" s="21">
        <v>36.5</v>
      </c>
      <c r="D27" s="21">
        <v>1000</v>
      </c>
      <c r="E27" s="21">
        <v>4.5662100456621</v>
      </c>
      <c r="F27" s="21">
        <v>20</v>
      </c>
      <c r="G27" s="22">
        <v>0</v>
      </c>
      <c r="H27" s="23">
        <v>0</v>
      </c>
      <c r="I27" s="24" t="s">
        <v>14</v>
      </c>
      <c r="J27" s="21">
        <v>385</v>
      </c>
      <c r="K27" s="21">
        <v>44</v>
      </c>
      <c r="L27" s="21">
        <v>3528</v>
      </c>
      <c r="M27" s="25">
        <v>1</v>
      </c>
      <c r="N27" s="8" t="s">
        <v>17</v>
      </c>
    </row>
    <row r="28" ht="28.8" customHeight="1" spans="1:14">
      <c r="A28" s="21">
        <v>219</v>
      </c>
      <c r="B28" s="21">
        <v>6</v>
      </c>
      <c r="C28" s="21">
        <v>36.5</v>
      </c>
      <c r="D28" s="21">
        <v>1000</v>
      </c>
      <c r="E28" s="21">
        <v>4.5662100456621</v>
      </c>
      <c r="F28" s="21">
        <v>20</v>
      </c>
      <c r="G28" s="22">
        <v>0</v>
      </c>
      <c r="H28" s="23">
        <v>0</v>
      </c>
      <c r="I28" s="24" t="s">
        <v>14</v>
      </c>
      <c r="J28" s="21">
        <v>385</v>
      </c>
      <c r="K28" s="21">
        <v>38.6</v>
      </c>
      <c r="L28" s="21">
        <v>3384</v>
      </c>
      <c r="M28" s="25">
        <v>1</v>
      </c>
      <c r="N28" s="8" t="s">
        <v>17</v>
      </c>
    </row>
    <row r="29" ht="28.8" customHeight="1" spans="1:14">
      <c r="A29" s="21">
        <v>219</v>
      </c>
      <c r="B29" s="21">
        <v>6</v>
      </c>
      <c r="C29" s="21">
        <v>36.5</v>
      </c>
      <c r="D29" s="21">
        <v>1000</v>
      </c>
      <c r="E29" s="21">
        <v>4.5662100456621</v>
      </c>
      <c r="F29" s="21">
        <v>20</v>
      </c>
      <c r="G29" s="22">
        <v>0</v>
      </c>
      <c r="H29" s="23">
        <v>0</v>
      </c>
      <c r="I29" s="24" t="s">
        <v>14</v>
      </c>
      <c r="J29" s="21">
        <v>385</v>
      </c>
      <c r="K29" s="21">
        <v>26.2</v>
      </c>
      <c r="L29" s="21">
        <v>2968</v>
      </c>
      <c r="M29" s="25">
        <v>1</v>
      </c>
      <c r="N29" s="8" t="s">
        <v>17</v>
      </c>
    </row>
    <row r="30" ht="28.8" customHeight="1" spans="1:14">
      <c r="A30" s="21">
        <v>219</v>
      </c>
      <c r="B30" s="21">
        <v>6</v>
      </c>
      <c r="C30" s="21">
        <v>36.5</v>
      </c>
      <c r="D30" s="21">
        <v>1000</v>
      </c>
      <c r="E30" s="21">
        <v>4.5662100456621</v>
      </c>
      <c r="F30" s="21">
        <v>20</v>
      </c>
      <c r="G30" s="22">
        <v>0</v>
      </c>
      <c r="H30" s="23">
        <v>0</v>
      </c>
      <c r="I30" s="24" t="s">
        <v>14</v>
      </c>
      <c r="J30" s="21">
        <v>385</v>
      </c>
      <c r="K30" s="21">
        <v>13.4</v>
      </c>
      <c r="L30" s="21">
        <v>2682</v>
      </c>
      <c r="M30" s="26">
        <v>1</v>
      </c>
      <c r="N30" s="8" t="s">
        <v>17</v>
      </c>
    </row>
    <row r="31" ht="28.8" customHeight="1" spans="1:14">
      <c r="A31" s="27">
        <v>219</v>
      </c>
      <c r="B31" s="27">
        <v>6</v>
      </c>
      <c r="C31" s="27">
        <v>36.5</v>
      </c>
      <c r="D31" s="27">
        <v>1000</v>
      </c>
      <c r="E31" s="27">
        <v>4.5662100456621</v>
      </c>
      <c r="F31" s="27">
        <v>1000</v>
      </c>
      <c r="G31" s="28">
        <v>90</v>
      </c>
      <c r="H31" s="8">
        <v>76500</v>
      </c>
      <c r="I31" s="29" t="s">
        <v>16</v>
      </c>
      <c r="J31" s="27">
        <v>385</v>
      </c>
      <c r="K31" s="27">
        <v>44</v>
      </c>
      <c r="L31" s="27">
        <v>2684</v>
      </c>
      <c r="M31" s="26">
        <v>0.760770975056689</v>
      </c>
      <c r="N31" s="8" t="s">
        <v>17</v>
      </c>
    </row>
    <row r="32" ht="28.8" customHeight="1" spans="1:14">
      <c r="A32" s="27">
        <v>219</v>
      </c>
      <c r="B32" s="27">
        <v>6</v>
      </c>
      <c r="C32" s="27">
        <v>36.5</v>
      </c>
      <c r="D32" s="27">
        <v>1000</v>
      </c>
      <c r="E32" s="27">
        <v>4.5662100456621</v>
      </c>
      <c r="F32" s="27">
        <v>1000</v>
      </c>
      <c r="G32" s="28">
        <v>90</v>
      </c>
      <c r="H32" s="8">
        <v>76500</v>
      </c>
      <c r="I32" s="29" t="s">
        <v>16</v>
      </c>
      <c r="J32" s="27">
        <v>385</v>
      </c>
      <c r="K32" s="27">
        <v>38.6</v>
      </c>
      <c r="L32" s="27">
        <v>2512</v>
      </c>
      <c r="M32" s="26">
        <v>0.742316784869976</v>
      </c>
      <c r="N32" s="8" t="s">
        <v>17</v>
      </c>
    </row>
    <row r="33" ht="28.8" customHeight="1" spans="1:14">
      <c r="A33" s="27">
        <v>219</v>
      </c>
      <c r="B33" s="27">
        <v>6</v>
      </c>
      <c r="C33" s="27">
        <v>36.5</v>
      </c>
      <c r="D33" s="27">
        <v>1000</v>
      </c>
      <c r="E33" s="27">
        <v>4.5662100456621</v>
      </c>
      <c r="F33" s="27">
        <v>1000</v>
      </c>
      <c r="G33" s="28">
        <v>90</v>
      </c>
      <c r="H33" s="8">
        <v>76500</v>
      </c>
      <c r="I33" s="29" t="s">
        <v>16</v>
      </c>
      <c r="J33" s="27">
        <v>385</v>
      </c>
      <c r="K33" s="27">
        <v>26.2</v>
      </c>
      <c r="L33" s="27">
        <v>2149</v>
      </c>
      <c r="M33" s="26">
        <v>0.724056603773585</v>
      </c>
      <c r="N33" s="8" t="s">
        <v>17</v>
      </c>
    </row>
    <row r="34" ht="28.8" customHeight="1" spans="1:14">
      <c r="A34" s="27">
        <v>219</v>
      </c>
      <c r="B34" s="27">
        <v>6</v>
      </c>
      <c r="C34" s="27">
        <v>36.5</v>
      </c>
      <c r="D34" s="27">
        <v>1000</v>
      </c>
      <c r="E34" s="27">
        <v>4.5662100456621</v>
      </c>
      <c r="F34" s="27">
        <v>1000</v>
      </c>
      <c r="G34" s="28">
        <v>90</v>
      </c>
      <c r="H34" s="8">
        <v>76500</v>
      </c>
      <c r="I34" s="29" t="s">
        <v>16</v>
      </c>
      <c r="J34" s="27">
        <v>385</v>
      </c>
      <c r="K34" s="27">
        <v>13.4</v>
      </c>
      <c r="L34" s="27">
        <v>1880</v>
      </c>
      <c r="M34" s="26">
        <v>0.700969425801641</v>
      </c>
      <c r="N34" s="8" t="s">
        <v>17</v>
      </c>
    </row>
    <row r="35" ht="28.8" customHeight="1" spans="1:14">
      <c r="A35" s="21">
        <v>377</v>
      </c>
      <c r="B35" s="21">
        <v>10</v>
      </c>
      <c r="C35" s="21">
        <v>37.7</v>
      </c>
      <c r="D35" s="21">
        <v>1200</v>
      </c>
      <c r="E35" s="21">
        <v>3.18302387267904</v>
      </c>
      <c r="F35" s="21">
        <v>20</v>
      </c>
      <c r="G35" s="22">
        <v>0</v>
      </c>
      <c r="H35" s="23">
        <v>0</v>
      </c>
      <c r="I35" s="24" t="s">
        <v>14</v>
      </c>
      <c r="J35" s="21">
        <v>400</v>
      </c>
      <c r="K35" s="21">
        <v>44</v>
      </c>
      <c r="L35" s="21">
        <v>10046</v>
      </c>
      <c r="M35" s="26">
        <v>1</v>
      </c>
      <c r="N35" s="8" t="s">
        <v>17</v>
      </c>
    </row>
    <row r="36" ht="28.8" customHeight="1" spans="1:14">
      <c r="A36" s="21">
        <v>377</v>
      </c>
      <c r="B36" s="21">
        <v>10</v>
      </c>
      <c r="C36" s="21">
        <v>37.7</v>
      </c>
      <c r="D36" s="21">
        <v>1200</v>
      </c>
      <c r="E36" s="21">
        <v>3.18302387267904</v>
      </c>
      <c r="F36" s="21">
        <v>20</v>
      </c>
      <c r="G36" s="22">
        <v>0</v>
      </c>
      <c r="H36" s="23">
        <v>0</v>
      </c>
      <c r="I36" s="24" t="s">
        <v>14</v>
      </c>
      <c r="J36" s="21">
        <v>400</v>
      </c>
      <c r="K36" s="21">
        <v>38.6</v>
      </c>
      <c r="L36" s="21">
        <v>9506</v>
      </c>
      <c r="M36" s="26">
        <v>1</v>
      </c>
      <c r="N36" s="8" t="s">
        <v>17</v>
      </c>
    </row>
    <row r="37" ht="28.8" customHeight="1" spans="1:14">
      <c r="A37" s="21">
        <v>377</v>
      </c>
      <c r="B37" s="21">
        <v>10</v>
      </c>
      <c r="C37" s="21">
        <v>37.7</v>
      </c>
      <c r="D37" s="21">
        <v>1200</v>
      </c>
      <c r="E37" s="21">
        <v>3.18302387267904</v>
      </c>
      <c r="F37" s="21">
        <v>20</v>
      </c>
      <c r="G37" s="22">
        <v>0</v>
      </c>
      <c r="H37" s="23">
        <v>0</v>
      </c>
      <c r="I37" s="24" t="s">
        <v>14</v>
      </c>
      <c r="J37" s="21">
        <v>400</v>
      </c>
      <c r="K37" s="21">
        <v>26.2</v>
      </c>
      <c r="L37" s="21">
        <v>8580</v>
      </c>
      <c r="M37" s="26">
        <v>1</v>
      </c>
      <c r="N37" s="8" t="s">
        <v>17</v>
      </c>
    </row>
    <row r="38" ht="28.8" customHeight="1" spans="1:14">
      <c r="A38" s="21">
        <v>377</v>
      </c>
      <c r="B38" s="21">
        <v>10</v>
      </c>
      <c r="C38" s="21">
        <v>37.7</v>
      </c>
      <c r="D38" s="21">
        <v>1200</v>
      </c>
      <c r="E38" s="21">
        <v>3.18302387267904</v>
      </c>
      <c r="F38" s="21">
        <v>20</v>
      </c>
      <c r="G38" s="22">
        <v>0</v>
      </c>
      <c r="H38" s="23">
        <v>0</v>
      </c>
      <c r="I38" s="24" t="s">
        <v>14</v>
      </c>
      <c r="J38" s="21">
        <v>400</v>
      </c>
      <c r="K38" s="21">
        <v>13.4</v>
      </c>
      <c r="L38" s="21">
        <v>7574</v>
      </c>
      <c r="M38" s="26">
        <v>1</v>
      </c>
      <c r="N38" s="8" t="s">
        <v>17</v>
      </c>
    </row>
    <row r="39" ht="28.8" customHeight="1" spans="1:14">
      <c r="A39" s="27">
        <v>377</v>
      </c>
      <c r="B39" s="27">
        <v>10</v>
      </c>
      <c r="C39" s="27">
        <v>37.7</v>
      </c>
      <c r="D39" s="27">
        <v>1200</v>
      </c>
      <c r="E39" s="27">
        <v>3.18302387267904</v>
      </c>
      <c r="F39" s="27">
        <v>1000</v>
      </c>
      <c r="G39" s="28">
        <v>90</v>
      </c>
      <c r="H39" s="8">
        <v>76500</v>
      </c>
      <c r="I39" s="29" t="s">
        <v>16</v>
      </c>
      <c r="J39" s="27">
        <v>400</v>
      </c>
      <c r="K39" s="27">
        <v>44</v>
      </c>
      <c r="L39" s="27">
        <v>8261</v>
      </c>
      <c r="M39" s="26">
        <v>0.822317340234919</v>
      </c>
      <c r="N39" s="8" t="s">
        <v>17</v>
      </c>
    </row>
    <row r="40" ht="28.8" customHeight="1" spans="1:14">
      <c r="A40" s="27">
        <v>377</v>
      </c>
      <c r="B40" s="27">
        <v>10</v>
      </c>
      <c r="C40" s="27">
        <v>37.7</v>
      </c>
      <c r="D40" s="27">
        <v>1200</v>
      </c>
      <c r="E40" s="27">
        <v>3.18302387267904</v>
      </c>
      <c r="F40" s="27">
        <v>1000</v>
      </c>
      <c r="G40" s="28">
        <v>90</v>
      </c>
      <c r="H40" s="8">
        <v>76500</v>
      </c>
      <c r="I40" s="29" t="s">
        <v>16</v>
      </c>
      <c r="J40" s="27">
        <v>400</v>
      </c>
      <c r="K40" s="27">
        <v>38.6</v>
      </c>
      <c r="L40" s="27">
        <v>7703</v>
      </c>
      <c r="M40" s="26">
        <v>0.810330317694088</v>
      </c>
      <c r="N40" s="8" t="s">
        <v>17</v>
      </c>
    </row>
    <row r="41" ht="28.8" customHeight="1" spans="1:14">
      <c r="A41" s="27">
        <v>377</v>
      </c>
      <c r="B41" s="27">
        <v>10</v>
      </c>
      <c r="C41" s="27">
        <v>37.7</v>
      </c>
      <c r="D41" s="27">
        <v>1200</v>
      </c>
      <c r="E41" s="27">
        <v>3.18302387267904</v>
      </c>
      <c r="F41" s="27">
        <v>1000</v>
      </c>
      <c r="G41" s="28">
        <v>90</v>
      </c>
      <c r="H41" s="8">
        <v>76500</v>
      </c>
      <c r="I41" s="29" t="s">
        <v>16</v>
      </c>
      <c r="J41" s="27">
        <v>400</v>
      </c>
      <c r="K41" s="27">
        <v>26.2</v>
      </c>
      <c r="L41" s="27">
        <v>6764</v>
      </c>
      <c r="M41" s="26">
        <v>0.788344988344988</v>
      </c>
      <c r="N41" s="8" t="s">
        <v>17</v>
      </c>
    </row>
    <row r="42" ht="28.8" customHeight="1" spans="1:14">
      <c r="A42" s="27">
        <v>377</v>
      </c>
      <c r="B42" s="27">
        <v>10</v>
      </c>
      <c r="C42" s="27">
        <v>37.7</v>
      </c>
      <c r="D42" s="27">
        <v>1200</v>
      </c>
      <c r="E42" s="27">
        <v>3.18302387267904</v>
      </c>
      <c r="F42" s="27">
        <v>1000</v>
      </c>
      <c r="G42" s="28" t="s">
        <v>18</v>
      </c>
      <c r="H42" s="8">
        <v>76500</v>
      </c>
      <c r="I42" s="29" t="s">
        <v>16</v>
      </c>
      <c r="J42" s="27">
        <v>400</v>
      </c>
      <c r="K42" s="27">
        <v>13.4</v>
      </c>
      <c r="L42" s="27">
        <v>5885</v>
      </c>
      <c r="M42" s="26">
        <v>0.777000264061262</v>
      </c>
      <c r="N42" s="8" t="s">
        <v>17</v>
      </c>
    </row>
    <row r="43" spans="1:14">
      <c r="A43" s="30">
        <v>140</v>
      </c>
      <c r="B43" s="30">
        <v>4</v>
      </c>
      <c r="C43" s="30">
        <v>35</v>
      </c>
      <c r="D43" s="30">
        <v>280</v>
      </c>
      <c r="E43" s="30">
        <v>2</v>
      </c>
      <c r="F43" s="30">
        <v>25</v>
      </c>
      <c r="G43" s="31">
        <v>0</v>
      </c>
      <c r="H43" s="32">
        <v>0</v>
      </c>
      <c r="I43" s="33" t="s">
        <v>14</v>
      </c>
      <c r="J43" s="30">
        <v>460</v>
      </c>
      <c r="K43" s="30">
        <v>119</v>
      </c>
      <c r="L43" s="30">
        <v>2832.15</v>
      </c>
      <c r="M43" s="34">
        <v>1</v>
      </c>
      <c r="N43" s="35" t="s">
        <v>19</v>
      </c>
    </row>
    <row r="44" spans="1:14">
      <c r="A44" s="30">
        <v>140</v>
      </c>
      <c r="B44" s="30">
        <v>5</v>
      </c>
      <c r="C44" s="30">
        <v>28</v>
      </c>
      <c r="D44" s="30">
        <v>280</v>
      </c>
      <c r="E44" s="30">
        <v>2</v>
      </c>
      <c r="F44" s="30">
        <v>25</v>
      </c>
      <c r="G44" s="31">
        <v>0</v>
      </c>
      <c r="H44" s="32">
        <v>0</v>
      </c>
      <c r="I44" s="33" t="s">
        <v>14</v>
      </c>
      <c r="J44" s="30">
        <v>460</v>
      </c>
      <c r="K44" s="30">
        <v>119</v>
      </c>
      <c r="L44" s="30">
        <v>3051.74</v>
      </c>
      <c r="M44" s="34">
        <v>1</v>
      </c>
      <c r="N44" s="35" t="s">
        <v>19</v>
      </c>
    </row>
    <row r="45" spans="1:14">
      <c r="A45" s="30">
        <v>140</v>
      </c>
      <c r="B45" s="30">
        <v>6</v>
      </c>
      <c r="C45" s="30">
        <v>23.3333333333333</v>
      </c>
      <c r="D45" s="30">
        <v>280</v>
      </c>
      <c r="E45" s="30">
        <v>2</v>
      </c>
      <c r="F45" s="30">
        <v>25</v>
      </c>
      <c r="G45" s="31">
        <v>0</v>
      </c>
      <c r="H45" s="32">
        <v>0</v>
      </c>
      <c r="I45" s="33" t="s">
        <v>14</v>
      </c>
      <c r="J45" s="30">
        <v>460</v>
      </c>
      <c r="K45" s="30">
        <v>119</v>
      </c>
      <c r="L45" s="30">
        <v>3297.82</v>
      </c>
      <c r="M45" s="34">
        <v>1</v>
      </c>
      <c r="N45" s="35" t="s">
        <v>19</v>
      </c>
    </row>
    <row r="46" spans="1:14">
      <c r="A46" s="30">
        <v>200</v>
      </c>
      <c r="B46" s="30">
        <v>5</v>
      </c>
      <c r="C46" s="30">
        <v>40</v>
      </c>
      <c r="D46" s="30">
        <v>400</v>
      </c>
      <c r="E46" s="30">
        <v>2</v>
      </c>
      <c r="F46" s="30">
        <v>25</v>
      </c>
      <c r="G46" s="31">
        <v>0</v>
      </c>
      <c r="H46" s="32">
        <v>0</v>
      </c>
      <c r="I46" s="33" t="s">
        <v>14</v>
      </c>
      <c r="J46" s="30">
        <v>460</v>
      </c>
      <c r="K46" s="30">
        <v>119</v>
      </c>
      <c r="L46" s="30">
        <v>5183.36</v>
      </c>
      <c r="M46" s="34">
        <v>1</v>
      </c>
      <c r="N46" s="35" t="s">
        <v>19</v>
      </c>
    </row>
    <row r="47" spans="1:14">
      <c r="A47" s="30">
        <v>140</v>
      </c>
      <c r="B47" s="30">
        <v>5</v>
      </c>
      <c r="C47" s="30">
        <v>28</v>
      </c>
      <c r="D47" s="30">
        <v>450</v>
      </c>
      <c r="E47" s="30">
        <v>3.21428571428571</v>
      </c>
      <c r="F47" s="30">
        <v>25</v>
      </c>
      <c r="G47" s="31">
        <v>0</v>
      </c>
      <c r="H47" s="32">
        <v>0</v>
      </c>
      <c r="I47" s="33" t="s">
        <v>14</v>
      </c>
      <c r="J47" s="30">
        <v>460</v>
      </c>
      <c r="K47" s="30">
        <v>119</v>
      </c>
      <c r="L47" s="30">
        <v>2680.88</v>
      </c>
      <c r="M47" s="34">
        <v>1</v>
      </c>
      <c r="N47" s="35" t="s">
        <v>19</v>
      </c>
    </row>
    <row r="48" spans="1:14">
      <c r="A48" s="36">
        <v>140</v>
      </c>
      <c r="B48" s="36">
        <v>5</v>
      </c>
      <c r="C48" s="36">
        <v>28</v>
      </c>
      <c r="D48" s="36">
        <v>280</v>
      </c>
      <c r="E48" s="36">
        <v>2</v>
      </c>
      <c r="F48" s="36">
        <v>200</v>
      </c>
      <c r="G48" s="37">
        <f t="array" ref="G48:G58">(F48:F58-25)/3+120</f>
        <v>178.333333333333</v>
      </c>
      <c r="H48" s="35">
        <v>29833.3333333333</v>
      </c>
      <c r="I48" s="38" t="s">
        <v>20</v>
      </c>
      <c r="J48" s="36">
        <v>460</v>
      </c>
      <c r="K48" s="36">
        <v>129</v>
      </c>
      <c r="L48" s="36">
        <v>3406.9</v>
      </c>
      <c r="M48" s="39">
        <v>1.11637950808391</v>
      </c>
      <c r="N48" s="35" t="s">
        <v>19</v>
      </c>
    </row>
    <row r="49" spans="1:14">
      <c r="A49" s="36">
        <v>140</v>
      </c>
      <c r="B49" s="36">
        <v>5</v>
      </c>
      <c r="C49" s="36">
        <v>28</v>
      </c>
      <c r="D49" s="36">
        <v>280</v>
      </c>
      <c r="E49" s="36">
        <v>2</v>
      </c>
      <c r="F49" s="36">
        <v>400</v>
      </c>
      <c r="G49" s="37">
        <v>245</v>
      </c>
      <c r="H49" s="35">
        <v>73000</v>
      </c>
      <c r="I49" s="38" t="s">
        <v>20</v>
      </c>
      <c r="J49" s="36">
        <v>460</v>
      </c>
      <c r="K49" s="36">
        <v>109</v>
      </c>
      <c r="L49" s="36">
        <v>3152.37</v>
      </c>
      <c r="M49" s="39">
        <v>1.03297463086633</v>
      </c>
      <c r="N49" s="35" t="s">
        <v>19</v>
      </c>
    </row>
    <row r="50" spans="1:14">
      <c r="A50" s="36">
        <v>140</v>
      </c>
      <c r="B50" s="36">
        <v>5</v>
      </c>
      <c r="C50" s="36">
        <v>28</v>
      </c>
      <c r="D50" s="36">
        <v>280</v>
      </c>
      <c r="E50" s="36">
        <v>2</v>
      </c>
      <c r="F50" s="36">
        <v>600</v>
      </c>
      <c r="G50" s="37">
        <v>311.666666666667</v>
      </c>
      <c r="H50" s="35">
        <v>129500</v>
      </c>
      <c r="I50" s="38" t="s">
        <v>20</v>
      </c>
      <c r="J50" s="36">
        <v>460</v>
      </c>
      <c r="K50" s="36">
        <v>69</v>
      </c>
      <c r="L50" s="36">
        <v>2269.52</v>
      </c>
      <c r="M50" s="39">
        <v>0.743680654315243</v>
      </c>
      <c r="N50" s="35" t="s">
        <v>19</v>
      </c>
    </row>
    <row r="51" spans="1:14">
      <c r="A51" s="36">
        <v>140</v>
      </c>
      <c r="B51" s="36">
        <v>4</v>
      </c>
      <c r="C51" s="36">
        <v>35</v>
      </c>
      <c r="D51" s="36">
        <v>280</v>
      </c>
      <c r="E51" s="36">
        <v>2</v>
      </c>
      <c r="F51" s="36">
        <v>600</v>
      </c>
      <c r="G51" s="37">
        <v>311.666666666667</v>
      </c>
      <c r="H51" s="35">
        <v>129500</v>
      </c>
      <c r="I51" s="38" t="s">
        <v>20</v>
      </c>
      <c r="J51" s="36">
        <v>460</v>
      </c>
      <c r="K51" s="36">
        <v>69</v>
      </c>
      <c r="L51" s="36">
        <v>1964.92</v>
      </c>
      <c r="M51" s="39">
        <v>0.693790936214537</v>
      </c>
      <c r="N51" s="35" t="s">
        <v>19</v>
      </c>
    </row>
    <row r="52" spans="1:14">
      <c r="A52" s="36">
        <v>200</v>
      </c>
      <c r="B52" s="36">
        <v>5</v>
      </c>
      <c r="C52" s="36">
        <v>40</v>
      </c>
      <c r="D52" s="36">
        <v>400</v>
      </c>
      <c r="E52" s="36">
        <v>2</v>
      </c>
      <c r="F52" s="36">
        <v>200</v>
      </c>
      <c r="G52" s="37">
        <v>178.333333333333</v>
      </c>
      <c r="H52" s="35">
        <v>29833.3333333333</v>
      </c>
      <c r="I52" s="38" t="s">
        <v>20</v>
      </c>
      <c r="J52" s="36">
        <v>460</v>
      </c>
      <c r="K52" s="36">
        <v>129</v>
      </c>
      <c r="L52" s="36">
        <v>6016.69</v>
      </c>
      <c r="M52" s="39">
        <v>1.1607702339795</v>
      </c>
      <c r="N52" s="35" t="s">
        <v>19</v>
      </c>
    </row>
    <row r="53" spans="1:14">
      <c r="A53" s="36">
        <v>200</v>
      </c>
      <c r="B53" s="36">
        <v>5</v>
      </c>
      <c r="C53" s="36">
        <v>40</v>
      </c>
      <c r="D53" s="36">
        <v>400</v>
      </c>
      <c r="E53" s="36">
        <v>2</v>
      </c>
      <c r="F53" s="36">
        <v>400</v>
      </c>
      <c r="G53" s="37">
        <v>245</v>
      </c>
      <c r="H53" s="35">
        <v>73000</v>
      </c>
      <c r="I53" s="38" t="s">
        <v>20</v>
      </c>
      <c r="J53" s="36">
        <v>460</v>
      </c>
      <c r="K53" s="36">
        <v>109</v>
      </c>
      <c r="L53" s="36">
        <v>4883.55</v>
      </c>
      <c r="M53" s="39">
        <v>0.942159140017286</v>
      </c>
      <c r="N53" s="35" t="s">
        <v>19</v>
      </c>
    </row>
    <row r="54" spans="1:14">
      <c r="A54" s="36">
        <v>200</v>
      </c>
      <c r="B54" s="36">
        <v>5</v>
      </c>
      <c r="C54" s="36">
        <v>40</v>
      </c>
      <c r="D54" s="36">
        <v>400</v>
      </c>
      <c r="E54" s="36">
        <v>2</v>
      </c>
      <c r="F54" s="36">
        <v>600</v>
      </c>
      <c r="G54" s="37">
        <v>311.666666666667</v>
      </c>
      <c r="H54" s="35">
        <v>129500</v>
      </c>
      <c r="I54" s="38" t="s">
        <v>20</v>
      </c>
      <c r="J54" s="36">
        <v>460</v>
      </c>
      <c r="K54" s="36">
        <v>69</v>
      </c>
      <c r="L54" s="36">
        <v>3724.67</v>
      </c>
      <c r="M54" s="39">
        <v>0.718582155204346</v>
      </c>
      <c r="N54" s="35" t="s">
        <v>19</v>
      </c>
    </row>
    <row r="55" spans="1:14">
      <c r="A55" s="36">
        <v>140</v>
      </c>
      <c r="B55" s="36">
        <v>5</v>
      </c>
      <c r="C55" s="36">
        <v>28</v>
      </c>
      <c r="D55" s="36">
        <v>450</v>
      </c>
      <c r="E55" s="36">
        <v>3.21428571428571</v>
      </c>
      <c r="F55" s="36">
        <v>200</v>
      </c>
      <c r="G55" s="37">
        <v>178.333333333333</v>
      </c>
      <c r="H55" s="35">
        <v>29833.3333333333</v>
      </c>
      <c r="I55" s="38" t="s">
        <v>20</v>
      </c>
      <c r="J55" s="36">
        <v>460</v>
      </c>
      <c r="K55" s="36">
        <v>129</v>
      </c>
      <c r="L55" s="36">
        <v>3295.41</v>
      </c>
      <c r="M55" s="39">
        <v>1.22922697024857</v>
      </c>
      <c r="N55" s="35" t="s">
        <v>19</v>
      </c>
    </row>
    <row r="56" spans="1:14">
      <c r="A56" s="36">
        <v>140</v>
      </c>
      <c r="B56" s="36">
        <v>5</v>
      </c>
      <c r="C56" s="36">
        <v>28</v>
      </c>
      <c r="D56" s="36">
        <v>450</v>
      </c>
      <c r="E56" s="36">
        <v>3.21428571428571</v>
      </c>
      <c r="F56" s="36">
        <v>400</v>
      </c>
      <c r="G56" s="37">
        <v>245</v>
      </c>
      <c r="H56" s="35">
        <v>73000</v>
      </c>
      <c r="I56" s="38" t="s">
        <v>20</v>
      </c>
      <c r="J56" s="36">
        <v>460</v>
      </c>
      <c r="K56" s="36">
        <v>109</v>
      </c>
      <c r="L56" s="36">
        <v>2758.27</v>
      </c>
      <c r="M56" s="39">
        <v>1.02886738682821</v>
      </c>
      <c r="N56" s="35" t="s">
        <v>19</v>
      </c>
    </row>
    <row r="57" spans="1:14">
      <c r="A57" s="36">
        <v>140</v>
      </c>
      <c r="B57" s="36">
        <v>5</v>
      </c>
      <c r="C57" s="36">
        <v>28</v>
      </c>
      <c r="D57" s="36">
        <v>450</v>
      </c>
      <c r="E57" s="36">
        <v>3.21428571428571</v>
      </c>
      <c r="F57" s="36">
        <v>600</v>
      </c>
      <c r="G57" s="37">
        <v>311.666666666667</v>
      </c>
      <c r="H57" s="35">
        <v>129500</v>
      </c>
      <c r="I57" s="38" t="s">
        <v>20</v>
      </c>
      <c r="J57" s="36">
        <v>460</v>
      </c>
      <c r="K57" s="36">
        <v>69</v>
      </c>
      <c r="L57" s="36">
        <v>2201.96</v>
      </c>
      <c r="M57" s="39">
        <v>0.821357166303602</v>
      </c>
      <c r="N57" s="35" t="s">
        <v>19</v>
      </c>
    </row>
    <row r="58" spans="1:14">
      <c r="A58" s="36">
        <v>140</v>
      </c>
      <c r="B58" s="36">
        <v>6</v>
      </c>
      <c r="C58" s="36">
        <v>23.3333333333333</v>
      </c>
      <c r="D58" s="36">
        <v>280</v>
      </c>
      <c r="E58" s="36">
        <v>2</v>
      </c>
      <c r="F58" s="36">
        <v>600</v>
      </c>
      <c r="G58" s="37">
        <v>311.666666666667</v>
      </c>
      <c r="H58" s="35">
        <v>129500</v>
      </c>
      <c r="I58" s="38" t="s">
        <v>20</v>
      </c>
      <c r="J58" s="36">
        <v>460</v>
      </c>
      <c r="K58" s="36">
        <v>69</v>
      </c>
      <c r="L58" s="36">
        <v>2424.3</v>
      </c>
      <c r="M58" s="39">
        <v>0.73512198967803</v>
      </c>
      <c r="N58" s="35" t="s">
        <v>19</v>
      </c>
    </row>
    <row r="59" ht="28.8" customHeight="1" spans="1:14">
      <c r="A59" s="40">
        <v>86</v>
      </c>
      <c r="B59" s="40">
        <v>2</v>
      </c>
      <c r="C59" s="40">
        <v>43</v>
      </c>
      <c r="D59" s="40">
        <v>188</v>
      </c>
      <c r="E59" s="40">
        <v>2.18604651162791</v>
      </c>
      <c r="F59" s="40">
        <v>20</v>
      </c>
      <c r="G59" s="41">
        <v>0</v>
      </c>
      <c r="H59" s="42">
        <v>0</v>
      </c>
      <c r="I59" s="43" t="s">
        <v>14</v>
      </c>
      <c r="J59" s="40">
        <v>342</v>
      </c>
      <c r="K59" s="40">
        <v>63</v>
      </c>
      <c r="L59" s="40">
        <v>552</v>
      </c>
      <c r="M59" s="44">
        <v>1</v>
      </c>
      <c r="N59" s="45" t="s">
        <v>21</v>
      </c>
    </row>
    <row r="60" ht="28.8" customHeight="1" spans="1:14">
      <c r="A60" s="40">
        <v>86</v>
      </c>
      <c r="B60" s="40">
        <v>2</v>
      </c>
      <c r="C60" s="40">
        <v>43</v>
      </c>
      <c r="D60" s="40">
        <v>188</v>
      </c>
      <c r="E60" s="40">
        <v>2.18604651162791</v>
      </c>
      <c r="F60" s="40">
        <v>20</v>
      </c>
      <c r="G60" s="41">
        <v>0</v>
      </c>
      <c r="H60" s="42">
        <v>0</v>
      </c>
      <c r="I60" s="43" t="s">
        <v>14</v>
      </c>
      <c r="J60" s="40">
        <v>342</v>
      </c>
      <c r="K60" s="40">
        <v>85.5</v>
      </c>
      <c r="L60" s="40">
        <v>700</v>
      </c>
      <c r="M60" s="44">
        <v>1</v>
      </c>
      <c r="N60" s="45" t="s">
        <v>21</v>
      </c>
    </row>
    <row r="61" ht="28.8" customHeight="1" spans="1:14">
      <c r="A61" s="40">
        <v>86</v>
      </c>
      <c r="B61" s="40">
        <v>2</v>
      </c>
      <c r="C61" s="40">
        <v>43</v>
      </c>
      <c r="D61" s="40">
        <v>188</v>
      </c>
      <c r="E61" s="40">
        <v>2.18604651162791</v>
      </c>
      <c r="F61" s="40">
        <v>20</v>
      </c>
      <c r="G61" s="41">
        <v>0</v>
      </c>
      <c r="H61" s="42">
        <v>0</v>
      </c>
      <c r="I61" s="43" t="s">
        <v>14</v>
      </c>
      <c r="J61" s="40">
        <v>342</v>
      </c>
      <c r="K61" s="40">
        <v>80.1</v>
      </c>
      <c r="L61" s="40">
        <v>644</v>
      </c>
      <c r="M61" s="44">
        <v>1</v>
      </c>
      <c r="N61" s="45" t="s">
        <v>21</v>
      </c>
    </row>
    <row r="62" ht="28.8" customHeight="1" spans="1:14">
      <c r="A62" s="40">
        <v>86</v>
      </c>
      <c r="B62" s="40">
        <v>2</v>
      </c>
      <c r="C62" s="40">
        <v>43</v>
      </c>
      <c r="D62" s="40">
        <v>188</v>
      </c>
      <c r="E62" s="40">
        <v>2.18604651162791</v>
      </c>
      <c r="F62" s="40">
        <v>20</v>
      </c>
      <c r="G62" s="41">
        <v>0</v>
      </c>
      <c r="H62" s="42">
        <v>0</v>
      </c>
      <c r="I62" s="43" t="s">
        <v>14</v>
      </c>
      <c r="J62" s="40">
        <v>342</v>
      </c>
      <c r="K62" s="40">
        <v>73.3</v>
      </c>
      <c r="L62" s="40">
        <v>625</v>
      </c>
      <c r="M62" s="44">
        <v>1</v>
      </c>
      <c r="N62" s="45" t="s">
        <v>21</v>
      </c>
    </row>
    <row r="63" ht="28.8" customHeight="1" spans="1:14">
      <c r="A63" s="40">
        <v>88.9</v>
      </c>
      <c r="B63" s="40">
        <v>3.5</v>
      </c>
      <c r="C63" s="40">
        <v>25.4</v>
      </c>
      <c r="D63" s="40">
        <v>188</v>
      </c>
      <c r="E63" s="40">
        <v>2.11473565804274</v>
      </c>
      <c r="F63" s="40">
        <v>20</v>
      </c>
      <c r="G63" s="41">
        <v>0</v>
      </c>
      <c r="H63" s="42">
        <v>0</v>
      </c>
      <c r="I63" s="43" t="s">
        <v>14</v>
      </c>
      <c r="J63" s="40">
        <v>342</v>
      </c>
      <c r="K63" s="40">
        <v>63</v>
      </c>
      <c r="L63" s="40">
        <v>764</v>
      </c>
      <c r="M63" s="44">
        <v>1</v>
      </c>
      <c r="N63" s="45" t="s">
        <v>21</v>
      </c>
    </row>
    <row r="64" ht="28.8" customHeight="1" spans="1:14">
      <c r="A64" s="40">
        <v>88.9</v>
      </c>
      <c r="B64" s="40">
        <v>3.5</v>
      </c>
      <c r="C64" s="40">
        <v>25.4</v>
      </c>
      <c r="D64" s="40">
        <v>188</v>
      </c>
      <c r="E64" s="40">
        <v>2.11473565804274</v>
      </c>
      <c r="F64" s="40">
        <v>20</v>
      </c>
      <c r="G64" s="41">
        <v>0</v>
      </c>
      <c r="H64" s="42">
        <v>0</v>
      </c>
      <c r="I64" s="43" t="s">
        <v>14</v>
      </c>
      <c r="J64" s="40">
        <v>342</v>
      </c>
      <c r="K64" s="40">
        <v>73.3</v>
      </c>
      <c r="L64" s="40">
        <v>825</v>
      </c>
      <c r="M64" s="44">
        <v>1</v>
      </c>
      <c r="N64" s="45" t="s">
        <v>21</v>
      </c>
    </row>
    <row r="65" ht="28.8" customHeight="1" spans="1:14">
      <c r="A65" s="40">
        <v>88.9</v>
      </c>
      <c r="B65" s="40">
        <v>3.5</v>
      </c>
      <c r="C65" s="40">
        <v>25.4</v>
      </c>
      <c r="D65" s="40">
        <v>188</v>
      </c>
      <c r="E65" s="40">
        <v>2.11473565804274</v>
      </c>
      <c r="F65" s="40">
        <v>20</v>
      </c>
      <c r="G65" s="41">
        <v>0</v>
      </c>
      <c r="H65" s="42">
        <v>0</v>
      </c>
      <c r="I65" s="43" t="s">
        <v>14</v>
      </c>
      <c r="J65" s="40">
        <v>342</v>
      </c>
      <c r="K65" s="40">
        <v>74.1</v>
      </c>
      <c r="L65" s="40">
        <v>805</v>
      </c>
      <c r="M65" s="44">
        <v>1</v>
      </c>
      <c r="N65" s="45" t="s">
        <v>21</v>
      </c>
    </row>
    <row r="66" ht="28.8" customHeight="1" spans="1:14">
      <c r="A66" s="46">
        <v>86</v>
      </c>
      <c r="B66" s="46">
        <v>2</v>
      </c>
      <c r="C66" s="46">
        <v>43</v>
      </c>
      <c r="D66" s="46">
        <v>188</v>
      </c>
      <c r="E66" s="46">
        <v>2.18604651162791</v>
      </c>
      <c r="F66" s="46">
        <v>250</v>
      </c>
      <c r="G66" s="47">
        <v>81</v>
      </c>
      <c r="H66" s="45">
        <v>18700</v>
      </c>
      <c r="I66" s="48" t="s">
        <v>16</v>
      </c>
      <c r="J66" s="46">
        <v>342</v>
      </c>
      <c r="K66" s="46">
        <v>63</v>
      </c>
      <c r="L66" s="46">
        <v>566</v>
      </c>
      <c r="M66" s="49">
        <v>1.02536231884058</v>
      </c>
      <c r="N66" s="45" t="s">
        <v>21</v>
      </c>
    </row>
    <row r="67" ht="28.8" customHeight="1" spans="1:14">
      <c r="A67" s="46">
        <v>86</v>
      </c>
      <c r="B67" s="46">
        <v>2</v>
      </c>
      <c r="C67" s="46">
        <v>43</v>
      </c>
      <c r="D67" s="46">
        <v>188</v>
      </c>
      <c r="E67" s="46">
        <v>2.18604651162791</v>
      </c>
      <c r="F67" s="46">
        <v>250</v>
      </c>
      <c r="G67" s="47">
        <v>81</v>
      </c>
      <c r="H67" s="45">
        <v>18700</v>
      </c>
      <c r="I67" s="48" t="s">
        <v>16</v>
      </c>
      <c r="J67" s="46">
        <v>342</v>
      </c>
      <c r="K67" s="46">
        <v>85.5</v>
      </c>
      <c r="L67" s="46">
        <v>601</v>
      </c>
      <c r="M67" s="49">
        <v>0.9616</v>
      </c>
      <c r="N67" s="45" t="s">
        <v>21</v>
      </c>
    </row>
    <row r="68" ht="28.8" customHeight="1" spans="1:14">
      <c r="A68" s="46">
        <v>88.9</v>
      </c>
      <c r="B68" s="46">
        <v>3.5</v>
      </c>
      <c r="C68" s="46">
        <v>25.4</v>
      </c>
      <c r="D68" s="46">
        <v>188</v>
      </c>
      <c r="E68" s="46">
        <v>2.11473565804274</v>
      </c>
      <c r="F68" s="46">
        <v>250</v>
      </c>
      <c r="G68" s="47">
        <v>81</v>
      </c>
      <c r="H68" s="45">
        <v>18700</v>
      </c>
      <c r="I68" s="48" t="s">
        <v>16</v>
      </c>
      <c r="J68" s="46">
        <v>342</v>
      </c>
      <c r="K68" s="46">
        <v>63</v>
      </c>
      <c r="L68" s="46">
        <v>728</v>
      </c>
      <c r="M68" s="49">
        <v>0.952879581151832</v>
      </c>
      <c r="N68" s="45" t="s">
        <v>21</v>
      </c>
    </row>
    <row r="69" ht="28.8" customHeight="1" spans="1:14">
      <c r="A69" s="46">
        <v>88.9</v>
      </c>
      <c r="B69" s="46">
        <v>3.5</v>
      </c>
      <c r="C69" s="46">
        <v>25.4</v>
      </c>
      <c r="D69" s="46">
        <v>188</v>
      </c>
      <c r="E69" s="46">
        <v>2.11473565804274</v>
      </c>
      <c r="F69" s="46">
        <v>250</v>
      </c>
      <c r="G69" s="47">
        <v>81</v>
      </c>
      <c r="H69" s="45">
        <v>18700</v>
      </c>
      <c r="I69" s="48" t="s">
        <v>16</v>
      </c>
      <c r="J69" s="46">
        <v>342</v>
      </c>
      <c r="K69" s="46">
        <v>73.3</v>
      </c>
      <c r="L69" s="46">
        <v>763</v>
      </c>
      <c r="M69" s="49">
        <v>0.924848484848485</v>
      </c>
      <c r="N69" s="45" t="s">
        <v>21</v>
      </c>
    </row>
    <row r="70" ht="28.8" customHeight="1" spans="1:14">
      <c r="A70" s="46">
        <v>86</v>
      </c>
      <c r="B70" s="46">
        <v>2</v>
      </c>
      <c r="C70" s="46">
        <v>43</v>
      </c>
      <c r="D70" s="46">
        <v>188</v>
      </c>
      <c r="E70" s="46">
        <v>2.18604651162791</v>
      </c>
      <c r="F70" s="46">
        <v>500</v>
      </c>
      <c r="G70" s="47">
        <v>94</v>
      </c>
      <c r="H70" s="45">
        <v>42100</v>
      </c>
      <c r="I70" s="48" t="s">
        <v>16</v>
      </c>
      <c r="J70" s="46">
        <v>342</v>
      </c>
      <c r="K70" s="46">
        <v>63</v>
      </c>
      <c r="L70" s="46">
        <v>501</v>
      </c>
      <c r="M70" s="49">
        <v>0.907608695652174</v>
      </c>
      <c r="N70" s="45" t="s">
        <v>21</v>
      </c>
    </row>
    <row r="71" ht="28.8" customHeight="1" spans="1:14">
      <c r="A71" s="46">
        <v>86</v>
      </c>
      <c r="B71" s="46">
        <v>2</v>
      </c>
      <c r="C71" s="46">
        <v>43</v>
      </c>
      <c r="D71" s="46">
        <v>188</v>
      </c>
      <c r="E71" s="46">
        <v>2.18604651162791</v>
      </c>
      <c r="F71" s="46">
        <v>500</v>
      </c>
      <c r="G71" s="47">
        <v>94</v>
      </c>
      <c r="H71" s="45">
        <v>42100</v>
      </c>
      <c r="I71" s="48" t="s">
        <v>16</v>
      </c>
      <c r="J71" s="46">
        <v>342</v>
      </c>
      <c r="K71" s="46">
        <v>85.5</v>
      </c>
      <c r="L71" s="46">
        <v>663</v>
      </c>
      <c r="M71" s="49">
        <v>0.947142857142857</v>
      </c>
      <c r="N71" s="45" t="s">
        <v>21</v>
      </c>
    </row>
    <row r="72" ht="28.8" customHeight="1" spans="1:14">
      <c r="A72" s="46">
        <v>86</v>
      </c>
      <c r="B72" s="46">
        <v>2</v>
      </c>
      <c r="C72" s="46">
        <v>43</v>
      </c>
      <c r="D72" s="46">
        <v>188</v>
      </c>
      <c r="E72" s="46">
        <v>2.18604651162791</v>
      </c>
      <c r="F72" s="46">
        <v>500</v>
      </c>
      <c r="G72" s="47">
        <v>94</v>
      </c>
      <c r="H72" s="45">
        <v>42100</v>
      </c>
      <c r="I72" s="48" t="s">
        <v>16</v>
      </c>
      <c r="J72" s="46">
        <v>342</v>
      </c>
      <c r="K72" s="46">
        <v>80.1</v>
      </c>
      <c r="L72" s="46">
        <v>628</v>
      </c>
      <c r="M72" s="49">
        <v>0.975155279503106</v>
      </c>
      <c r="N72" s="45" t="s">
        <v>21</v>
      </c>
    </row>
    <row r="73" ht="28.8" customHeight="1" spans="1:14">
      <c r="A73" s="46">
        <v>86</v>
      </c>
      <c r="B73" s="46">
        <v>2</v>
      </c>
      <c r="C73" s="46">
        <v>43</v>
      </c>
      <c r="D73" s="46">
        <v>188</v>
      </c>
      <c r="E73" s="46">
        <v>2.18604651162791</v>
      </c>
      <c r="F73" s="46">
        <v>500</v>
      </c>
      <c r="G73" s="47">
        <v>94</v>
      </c>
      <c r="H73" s="45">
        <v>42100</v>
      </c>
      <c r="I73" s="48" t="s">
        <v>16</v>
      </c>
      <c r="J73" s="46">
        <v>342</v>
      </c>
      <c r="K73" s="46">
        <v>73.3</v>
      </c>
      <c r="L73" s="46">
        <v>594</v>
      </c>
      <c r="M73" s="49">
        <v>0.9504</v>
      </c>
      <c r="N73" s="45" t="s">
        <v>21</v>
      </c>
    </row>
    <row r="74" ht="28.8" customHeight="1" spans="1:14">
      <c r="A74" s="46">
        <v>88.9</v>
      </c>
      <c r="B74" s="46">
        <v>3.5</v>
      </c>
      <c r="C74" s="46">
        <v>25.4</v>
      </c>
      <c r="D74" s="46">
        <v>188</v>
      </c>
      <c r="E74" s="46">
        <v>2.11473565804274</v>
      </c>
      <c r="F74" s="46">
        <v>500</v>
      </c>
      <c r="G74" s="47">
        <v>94</v>
      </c>
      <c r="H74" s="45">
        <v>42100</v>
      </c>
      <c r="I74" s="48" t="s">
        <v>16</v>
      </c>
      <c r="J74" s="46">
        <v>342</v>
      </c>
      <c r="K74" s="46">
        <v>63</v>
      </c>
      <c r="L74" s="46">
        <v>681</v>
      </c>
      <c r="M74" s="49">
        <v>0.891361256544503</v>
      </c>
      <c r="N74" s="45" t="s">
        <v>21</v>
      </c>
    </row>
    <row r="75" ht="28.8" customHeight="1" spans="1:14">
      <c r="A75" s="46">
        <v>88.9</v>
      </c>
      <c r="B75" s="46">
        <v>3.5</v>
      </c>
      <c r="C75" s="46">
        <v>25.4</v>
      </c>
      <c r="D75" s="46">
        <v>188</v>
      </c>
      <c r="E75" s="46">
        <v>2.11473565804274</v>
      </c>
      <c r="F75" s="46">
        <v>500</v>
      </c>
      <c r="G75" s="47">
        <v>94</v>
      </c>
      <c r="H75" s="45">
        <v>42100</v>
      </c>
      <c r="I75" s="48" t="s">
        <v>16</v>
      </c>
      <c r="J75" s="46">
        <v>342</v>
      </c>
      <c r="K75" s="46">
        <v>73.3</v>
      </c>
      <c r="L75" s="46">
        <v>734</v>
      </c>
      <c r="M75" s="49">
        <v>0.88969696969697</v>
      </c>
      <c r="N75" s="45" t="s">
        <v>21</v>
      </c>
    </row>
    <row r="76" ht="28.8" customHeight="1" spans="1:14">
      <c r="A76" s="46">
        <v>88.9</v>
      </c>
      <c r="B76" s="46">
        <v>3.5</v>
      </c>
      <c r="C76" s="46">
        <v>25.4</v>
      </c>
      <c r="D76" s="46">
        <v>188</v>
      </c>
      <c r="E76" s="46">
        <v>2.11473565804274</v>
      </c>
      <c r="F76" s="46">
        <v>500</v>
      </c>
      <c r="G76" s="47">
        <v>113</v>
      </c>
      <c r="H76" s="45">
        <v>69400</v>
      </c>
      <c r="I76" s="48" t="s">
        <v>16</v>
      </c>
      <c r="J76" s="46">
        <v>342</v>
      </c>
      <c r="K76" s="46">
        <v>74.1</v>
      </c>
      <c r="L76" s="46">
        <v>759</v>
      </c>
      <c r="M76" s="49">
        <v>0.942857142857143</v>
      </c>
      <c r="N76" s="45" t="s">
        <v>21</v>
      </c>
    </row>
    <row r="77" ht="28.8" customHeight="1" spans="1:14">
      <c r="A77" s="46">
        <v>86</v>
      </c>
      <c r="B77" s="46">
        <v>2</v>
      </c>
      <c r="C77" s="46">
        <v>43</v>
      </c>
      <c r="D77" s="46">
        <v>188</v>
      </c>
      <c r="E77" s="46">
        <v>2.18604651162791</v>
      </c>
      <c r="F77" s="46">
        <v>750</v>
      </c>
      <c r="G77" s="47">
        <v>113</v>
      </c>
      <c r="H77" s="45">
        <v>69400</v>
      </c>
      <c r="I77" s="48" t="s">
        <v>16</v>
      </c>
      <c r="J77" s="46">
        <v>342</v>
      </c>
      <c r="K77" s="46">
        <v>73.3</v>
      </c>
      <c r="L77" s="46">
        <v>409</v>
      </c>
      <c r="M77" s="49">
        <v>0.6544</v>
      </c>
      <c r="N77" s="45" t="s">
        <v>21</v>
      </c>
    </row>
    <row r="78" ht="28.8" customHeight="1" spans="1:14">
      <c r="A78" s="15">
        <v>165.16</v>
      </c>
      <c r="B78" s="15">
        <v>4.52</v>
      </c>
      <c r="C78" s="15">
        <v>36.54</v>
      </c>
      <c r="D78" s="15">
        <v>500</v>
      </c>
      <c r="E78" s="15">
        <v>3.02736740130782</v>
      </c>
      <c r="F78" s="15">
        <v>20</v>
      </c>
      <c r="G78" s="11">
        <v>0</v>
      </c>
      <c r="H78" s="16">
        <v>0</v>
      </c>
      <c r="I78" s="12" t="s">
        <v>14</v>
      </c>
      <c r="J78" s="15">
        <v>442.92</v>
      </c>
      <c r="K78" s="15">
        <v>45.28</v>
      </c>
      <c r="L78" s="15">
        <v>2192</v>
      </c>
      <c r="M78" s="50">
        <v>1</v>
      </c>
      <c r="N78" s="14" t="s">
        <v>22</v>
      </c>
    </row>
    <row r="79" ht="28.8" customHeight="1" spans="1:14">
      <c r="A79" s="18">
        <v>165.16</v>
      </c>
      <c r="B79" s="18">
        <v>4.52</v>
      </c>
      <c r="C79" s="18">
        <v>36.54</v>
      </c>
      <c r="D79" s="18">
        <v>500</v>
      </c>
      <c r="E79" s="18">
        <v>3.02736740130782</v>
      </c>
      <c r="F79" s="18">
        <v>200</v>
      </c>
      <c r="G79" s="19">
        <f t="array" ref="G79:G82">F79:F82/5+120</f>
        <v>160</v>
      </c>
      <c r="H79" s="14">
        <f t="array" ref="H79:H82">F79:F82/5*F79:F82+F79:F82*120</f>
        <v>32000</v>
      </c>
      <c r="I79" s="51" t="s">
        <v>16</v>
      </c>
      <c r="J79" s="18">
        <v>411.84</v>
      </c>
      <c r="K79" s="18">
        <v>45.28</v>
      </c>
      <c r="L79" s="18">
        <v>2168</v>
      </c>
      <c r="M79" s="52">
        <v>0.989051094890511</v>
      </c>
      <c r="N79" s="14" t="s">
        <v>22</v>
      </c>
    </row>
    <row r="80" ht="28.8" customHeight="1" spans="1:14">
      <c r="A80" s="18">
        <v>165.16</v>
      </c>
      <c r="B80" s="18">
        <v>4.52</v>
      </c>
      <c r="C80" s="18">
        <v>36.54</v>
      </c>
      <c r="D80" s="18">
        <v>500</v>
      </c>
      <c r="E80" s="18">
        <v>3.02736740130782</v>
      </c>
      <c r="F80" s="18">
        <v>400</v>
      </c>
      <c r="G80" s="19">
        <v>200</v>
      </c>
      <c r="H80" s="14">
        <v>80000</v>
      </c>
      <c r="I80" s="51" t="s">
        <v>16</v>
      </c>
      <c r="J80" s="18">
        <v>393.32</v>
      </c>
      <c r="K80" s="18">
        <v>45.28</v>
      </c>
      <c r="L80" s="18">
        <v>2109</v>
      </c>
      <c r="M80" s="52">
        <v>0.96213503649635</v>
      </c>
      <c r="N80" s="14" t="s">
        <v>22</v>
      </c>
    </row>
    <row r="81" ht="28.8" customHeight="1" spans="1:14">
      <c r="A81" s="18">
        <v>165.16</v>
      </c>
      <c r="B81" s="18">
        <v>4.52</v>
      </c>
      <c r="C81" s="18">
        <v>36.54</v>
      </c>
      <c r="D81" s="18">
        <v>500</v>
      </c>
      <c r="E81" s="18">
        <v>3.02736740130782</v>
      </c>
      <c r="F81" s="18">
        <v>600</v>
      </c>
      <c r="G81" s="19">
        <v>240</v>
      </c>
      <c r="H81" s="14">
        <v>144000</v>
      </c>
      <c r="I81" s="51" t="s">
        <v>16</v>
      </c>
      <c r="J81" s="18">
        <v>335.26</v>
      </c>
      <c r="K81" s="18">
        <v>45.28</v>
      </c>
      <c r="L81" s="18">
        <v>2031</v>
      </c>
      <c r="M81" s="52">
        <v>0.926551094890511</v>
      </c>
      <c r="N81" s="14" t="s">
        <v>22</v>
      </c>
    </row>
    <row r="82" ht="28.8" customHeight="1" spans="1:14">
      <c r="A82" s="18">
        <v>165.16</v>
      </c>
      <c r="B82" s="18">
        <v>4.52</v>
      </c>
      <c r="C82" s="18">
        <v>36.54</v>
      </c>
      <c r="D82" s="18">
        <v>500</v>
      </c>
      <c r="E82" s="18">
        <v>3.02736740130782</v>
      </c>
      <c r="F82" s="18">
        <v>800</v>
      </c>
      <c r="G82" s="19">
        <v>280</v>
      </c>
      <c r="H82" s="14">
        <v>224000</v>
      </c>
      <c r="I82" s="51" t="s">
        <v>16</v>
      </c>
      <c r="J82" s="18">
        <v>295.11</v>
      </c>
      <c r="K82" s="18">
        <v>45.28</v>
      </c>
      <c r="L82" s="18">
        <v>1752</v>
      </c>
      <c r="M82" s="52">
        <v>0.799270072992701</v>
      </c>
      <c r="N82" s="14" t="s">
        <v>22</v>
      </c>
    </row>
    <row r="83" ht="28.8" customHeight="1" spans="1:14">
      <c r="A83" s="15">
        <v>114.32</v>
      </c>
      <c r="B83" s="15">
        <v>4.58</v>
      </c>
      <c r="C83" s="15">
        <v>24.96</v>
      </c>
      <c r="D83" s="15">
        <v>900</v>
      </c>
      <c r="E83" s="15">
        <v>7.87263820853744</v>
      </c>
      <c r="F83" s="15">
        <v>20</v>
      </c>
      <c r="G83" s="11">
        <v>0</v>
      </c>
      <c r="H83" s="16">
        <v>0</v>
      </c>
      <c r="I83" s="12" t="s">
        <v>14</v>
      </c>
      <c r="J83" s="15">
        <v>415.57</v>
      </c>
      <c r="K83" s="15">
        <v>45.28</v>
      </c>
      <c r="L83" s="15">
        <v>1423</v>
      </c>
      <c r="M83" s="50">
        <v>1</v>
      </c>
      <c r="N83" s="14" t="s">
        <v>22</v>
      </c>
    </row>
    <row r="84" ht="28.8" customHeight="1" spans="1:14">
      <c r="A84" s="18">
        <v>114.32</v>
      </c>
      <c r="B84" s="18">
        <v>4.58</v>
      </c>
      <c r="C84" s="18">
        <v>24.96</v>
      </c>
      <c r="D84" s="18">
        <v>900</v>
      </c>
      <c r="E84" s="18">
        <v>7.87263820853744</v>
      </c>
      <c r="F84" s="18">
        <v>200</v>
      </c>
      <c r="G84" s="19">
        <f t="array" ref="G84:G87">F84:F87/5+120</f>
        <v>160</v>
      </c>
      <c r="H84" s="14">
        <f t="array" ref="H84:H87">F84:F87/5*F84:F87+F84:F87*120</f>
        <v>32000</v>
      </c>
      <c r="I84" s="51" t="s">
        <v>16</v>
      </c>
      <c r="J84" s="18">
        <v>412.43</v>
      </c>
      <c r="K84" s="18">
        <v>45.28</v>
      </c>
      <c r="L84" s="18">
        <v>1408</v>
      </c>
      <c r="M84" s="52">
        <v>0.989458889669712</v>
      </c>
      <c r="N84" s="14" t="s">
        <v>22</v>
      </c>
    </row>
    <row r="85" ht="28.8" customHeight="1" spans="1:14">
      <c r="A85" s="18">
        <v>114.32</v>
      </c>
      <c r="B85" s="18">
        <v>4.58</v>
      </c>
      <c r="C85" s="18">
        <v>24.96</v>
      </c>
      <c r="D85" s="18">
        <v>900</v>
      </c>
      <c r="E85" s="18">
        <v>7.87263820853744</v>
      </c>
      <c r="F85" s="18">
        <v>400</v>
      </c>
      <c r="G85" s="19">
        <v>200</v>
      </c>
      <c r="H85" s="14">
        <v>80000</v>
      </c>
      <c r="I85" s="51" t="s">
        <v>16</v>
      </c>
      <c r="J85" s="18">
        <v>402.39</v>
      </c>
      <c r="K85" s="18">
        <v>45.28</v>
      </c>
      <c r="L85" s="18">
        <v>1355</v>
      </c>
      <c r="M85" s="52">
        <v>0.95221363316936</v>
      </c>
      <c r="N85" s="14" t="s">
        <v>22</v>
      </c>
    </row>
    <row r="86" ht="28.8" customHeight="1" spans="1:14">
      <c r="A86" s="18">
        <v>114.32</v>
      </c>
      <c r="B86" s="18">
        <v>4.58</v>
      </c>
      <c r="C86" s="18">
        <v>24.96</v>
      </c>
      <c r="D86" s="18">
        <v>900</v>
      </c>
      <c r="E86" s="18">
        <v>7.87263820853744</v>
      </c>
      <c r="F86" s="18">
        <v>600</v>
      </c>
      <c r="G86" s="19">
        <v>240</v>
      </c>
      <c r="H86" s="14">
        <v>144000</v>
      </c>
      <c r="I86" s="51" t="s">
        <v>16</v>
      </c>
      <c r="J86" s="18">
        <v>396.31</v>
      </c>
      <c r="K86" s="18">
        <v>45.28</v>
      </c>
      <c r="L86" s="18">
        <v>1193</v>
      </c>
      <c r="M86" s="52">
        <v>0.838369641602249</v>
      </c>
      <c r="N86" s="14" t="s">
        <v>22</v>
      </c>
    </row>
    <row r="87" ht="28.8" customHeight="1" spans="1:14">
      <c r="A87" s="18">
        <v>114.32</v>
      </c>
      <c r="B87" s="18">
        <v>4.58</v>
      </c>
      <c r="C87" s="18">
        <v>24.96</v>
      </c>
      <c r="D87" s="18">
        <v>900</v>
      </c>
      <c r="E87" s="18">
        <v>7.87263820853744</v>
      </c>
      <c r="F87" s="18">
        <v>800</v>
      </c>
      <c r="G87" s="19">
        <v>280</v>
      </c>
      <c r="H87" s="14">
        <v>224000</v>
      </c>
      <c r="I87" s="51" t="s">
        <v>16</v>
      </c>
      <c r="J87" s="18">
        <v>320.18</v>
      </c>
      <c r="K87" s="18">
        <v>45.28</v>
      </c>
      <c r="L87" s="18">
        <v>992</v>
      </c>
      <c r="M87" s="52">
        <v>0.697118763176388</v>
      </c>
      <c r="N87" s="14" t="s">
        <v>22</v>
      </c>
    </row>
    <row r="88" spans="1:14">
      <c r="A88" s="32">
        <v>165</v>
      </c>
      <c r="B88" s="32">
        <v>4</v>
      </c>
      <c r="C88" s="32">
        <f t="array" ref="C88:C114">A88:A114/B88:B114</f>
        <v>41.25</v>
      </c>
      <c r="D88" s="32">
        <v>440</v>
      </c>
      <c r="E88" s="32">
        <v>2.66666666666667</v>
      </c>
      <c r="F88" s="32">
        <v>20</v>
      </c>
      <c r="G88" s="31">
        <v>0</v>
      </c>
      <c r="H88" s="32">
        <v>0</v>
      </c>
      <c r="I88" s="33" t="s">
        <v>14</v>
      </c>
      <c r="J88" s="32">
        <v>329.1</v>
      </c>
      <c r="K88" s="32">
        <v>46.6</v>
      </c>
      <c r="L88" s="32">
        <v>1746.94739037708</v>
      </c>
      <c r="M88" s="53">
        <v>1</v>
      </c>
      <c r="N88" s="35" t="s">
        <v>23</v>
      </c>
    </row>
    <row r="89" spans="1:14">
      <c r="A89" s="35">
        <v>165</v>
      </c>
      <c r="B89" s="35">
        <v>4</v>
      </c>
      <c r="C89" s="35">
        <v>41.25</v>
      </c>
      <c r="D89" s="35">
        <v>440</v>
      </c>
      <c r="E89" s="35">
        <v>2.66666666666667</v>
      </c>
      <c r="F89" s="35">
        <v>200</v>
      </c>
      <c r="G89" s="54" t="s">
        <v>24</v>
      </c>
      <c r="H89" s="35">
        <v>10500</v>
      </c>
      <c r="I89" s="38" t="s">
        <v>20</v>
      </c>
      <c r="J89" s="35">
        <v>329.1</v>
      </c>
      <c r="K89" s="35">
        <v>46.6</v>
      </c>
      <c r="L89" s="35">
        <v>1742.67089737739</v>
      </c>
      <c r="M89" s="55">
        <v>0.997552019583849</v>
      </c>
      <c r="N89" s="35" t="s">
        <v>23</v>
      </c>
    </row>
    <row r="90" spans="1:14">
      <c r="A90" s="35">
        <v>165</v>
      </c>
      <c r="B90" s="35">
        <v>4</v>
      </c>
      <c r="C90" s="35">
        <v>41.25</v>
      </c>
      <c r="D90" s="35">
        <v>440</v>
      </c>
      <c r="E90" s="35">
        <v>2.66666666666667</v>
      </c>
      <c r="F90" s="35">
        <v>400</v>
      </c>
      <c r="G90" s="54" t="s">
        <v>25</v>
      </c>
      <c r="H90" s="35">
        <v>32000</v>
      </c>
      <c r="I90" s="38" t="s">
        <v>20</v>
      </c>
      <c r="J90" s="35">
        <v>329.1</v>
      </c>
      <c r="K90" s="35">
        <v>46.6</v>
      </c>
      <c r="L90" s="35">
        <v>1599.40838188747</v>
      </c>
      <c r="M90" s="55">
        <v>0.9155446756426</v>
      </c>
      <c r="N90" s="35" t="s">
        <v>23</v>
      </c>
    </row>
    <row r="91" spans="1:14">
      <c r="A91" s="35">
        <v>165</v>
      </c>
      <c r="B91" s="35">
        <v>4</v>
      </c>
      <c r="C91" s="35">
        <v>41.25</v>
      </c>
      <c r="D91" s="35">
        <v>440</v>
      </c>
      <c r="E91" s="35">
        <v>2.66666666666667</v>
      </c>
      <c r="F91" s="35">
        <v>600</v>
      </c>
      <c r="G91" s="54" t="s">
        <v>26</v>
      </c>
      <c r="H91" s="35">
        <v>86000</v>
      </c>
      <c r="I91" s="38" t="s">
        <v>20</v>
      </c>
      <c r="J91" s="35">
        <v>329.1</v>
      </c>
      <c r="K91" s="35">
        <v>46.6</v>
      </c>
      <c r="L91" s="35">
        <v>1518.15501489318</v>
      </c>
      <c r="M91" s="55">
        <v>0.869033047735619</v>
      </c>
      <c r="N91" s="35" t="s">
        <v>23</v>
      </c>
    </row>
    <row r="92" spans="1:14">
      <c r="A92" s="35">
        <v>165</v>
      </c>
      <c r="B92" s="35">
        <v>4</v>
      </c>
      <c r="C92" s="35">
        <v>41.25</v>
      </c>
      <c r="D92" s="35">
        <v>440</v>
      </c>
      <c r="E92" s="35">
        <v>2.66666666666667</v>
      </c>
      <c r="F92" s="35">
        <v>800</v>
      </c>
      <c r="G92" s="54" t="s">
        <v>27</v>
      </c>
      <c r="H92" s="35">
        <v>215000</v>
      </c>
      <c r="I92" s="38" t="s">
        <v>20</v>
      </c>
      <c r="J92" s="35">
        <v>329.1</v>
      </c>
      <c r="K92" s="35">
        <v>46.6</v>
      </c>
      <c r="L92" s="35">
        <v>1411.2426899007</v>
      </c>
      <c r="M92" s="55">
        <v>0.807833537331701</v>
      </c>
      <c r="N92" s="35" t="s">
        <v>23</v>
      </c>
    </row>
    <row r="93" spans="1:14">
      <c r="A93" s="32">
        <v>165</v>
      </c>
      <c r="B93" s="32">
        <v>4</v>
      </c>
      <c r="C93" s="32">
        <v>41.25</v>
      </c>
      <c r="D93" s="32">
        <v>440</v>
      </c>
      <c r="E93" s="32">
        <v>2.66666666666667</v>
      </c>
      <c r="F93" s="32">
        <v>20</v>
      </c>
      <c r="G93" s="31">
        <v>0</v>
      </c>
      <c r="H93" s="32">
        <v>0</v>
      </c>
      <c r="I93" s="33" t="s">
        <v>14</v>
      </c>
      <c r="J93" s="32">
        <v>329.1</v>
      </c>
      <c r="K93" s="32">
        <v>43.9</v>
      </c>
      <c r="L93" s="32">
        <v>1776.88284137498</v>
      </c>
      <c r="M93" s="53">
        <v>1</v>
      </c>
      <c r="N93" s="35" t="s">
        <v>23</v>
      </c>
    </row>
    <row r="94" spans="1:14">
      <c r="A94" s="35">
        <v>165</v>
      </c>
      <c r="B94" s="35">
        <v>4</v>
      </c>
      <c r="C94" s="35">
        <v>41.25</v>
      </c>
      <c r="D94" s="35">
        <v>440</v>
      </c>
      <c r="E94" s="35">
        <v>2.66666666666667</v>
      </c>
      <c r="F94" s="35">
        <v>200</v>
      </c>
      <c r="G94" s="54" t="s">
        <v>24</v>
      </c>
      <c r="H94" s="35">
        <v>10500</v>
      </c>
      <c r="I94" s="38" t="s">
        <v>20</v>
      </c>
      <c r="J94" s="35">
        <v>329.1</v>
      </c>
      <c r="K94" s="35">
        <v>43.9</v>
      </c>
      <c r="L94" s="35">
        <v>1746.94739037708</v>
      </c>
      <c r="M94" s="55">
        <v>0.983152827918167</v>
      </c>
      <c r="N94" s="35" t="s">
        <v>23</v>
      </c>
    </row>
    <row r="95" spans="1:14">
      <c r="A95" s="35">
        <v>165</v>
      </c>
      <c r="B95" s="35">
        <v>4</v>
      </c>
      <c r="C95" s="35">
        <v>41.25</v>
      </c>
      <c r="D95" s="35">
        <v>440</v>
      </c>
      <c r="E95" s="35">
        <v>2.66666666666667</v>
      </c>
      <c r="F95" s="35">
        <v>400</v>
      </c>
      <c r="G95" s="54" t="s">
        <v>25</v>
      </c>
      <c r="H95" s="35">
        <v>32000</v>
      </c>
      <c r="I95" s="38" t="s">
        <v>20</v>
      </c>
      <c r="J95" s="35">
        <v>329.1</v>
      </c>
      <c r="K95" s="35">
        <v>43.9</v>
      </c>
      <c r="L95" s="35">
        <v>1610.09961438671</v>
      </c>
      <c r="M95" s="55">
        <v>0.906137184115521</v>
      </c>
      <c r="N95" s="35" t="s">
        <v>23</v>
      </c>
    </row>
    <row r="96" spans="1:14">
      <c r="A96" s="35">
        <v>165</v>
      </c>
      <c r="B96" s="35">
        <v>4</v>
      </c>
      <c r="C96" s="35">
        <v>41.25</v>
      </c>
      <c r="D96" s="35">
        <v>440</v>
      </c>
      <c r="E96" s="35">
        <v>2.66666666666667</v>
      </c>
      <c r="F96" s="35">
        <v>600</v>
      </c>
      <c r="G96" s="54" t="s">
        <v>26</v>
      </c>
      <c r="H96" s="35">
        <v>86000</v>
      </c>
      <c r="I96" s="38" t="s">
        <v>20</v>
      </c>
      <c r="J96" s="35">
        <v>329.1</v>
      </c>
      <c r="K96" s="35">
        <v>43.9</v>
      </c>
      <c r="L96" s="35">
        <v>1550.22871239093</v>
      </c>
      <c r="M96" s="55">
        <v>0.872442839951867</v>
      </c>
      <c r="N96" s="35" t="s">
        <v>23</v>
      </c>
    </row>
    <row r="97" spans="1:14">
      <c r="A97" s="35">
        <v>165</v>
      </c>
      <c r="B97" s="35">
        <v>4</v>
      </c>
      <c r="C97" s="35">
        <v>41.25</v>
      </c>
      <c r="D97" s="35">
        <v>440</v>
      </c>
      <c r="E97" s="35">
        <v>2.66666666666667</v>
      </c>
      <c r="F97" s="35">
        <v>800</v>
      </c>
      <c r="G97" s="54" t="s">
        <v>27</v>
      </c>
      <c r="H97" s="35">
        <v>215000</v>
      </c>
      <c r="I97" s="38" t="s">
        <v>20</v>
      </c>
      <c r="J97" s="35">
        <v>329.1</v>
      </c>
      <c r="K97" s="35">
        <v>43.9</v>
      </c>
      <c r="L97" s="35">
        <v>1312.88335090763</v>
      </c>
      <c r="M97" s="55">
        <v>0.738868832731651</v>
      </c>
      <c r="N97" s="35" t="s">
        <v>23</v>
      </c>
    </row>
    <row r="98" spans="1:14">
      <c r="A98" s="32">
        <v>165</v>
      </c>
      <c r="B98" s="32">
        <v>4</v>
      </c>
      <c r="C98" s="32">
        <v>41.25</v>
      </c>
      <c r="D98" s="32">
        <v>440</v>
      </c>
      <c r="E98" s="32">
        <v>2.66666666666667</v>
      </c>
      <c r="F98" s="32">
        <v>20</v>
      </c>
      <c r="G98" s="31">
        <v>0</v>
      </c>
      <c r="H98" s="32">
        <v>0</v>
      </c>
      <c r="I98" s="33" t="s">
        <v>14</v>
      </c>
      <c r="J98" s="32">
        <v>329.1</v>
      </c>
      <c r="K98" s="32">
        <v>43.2</v>
      </c>
      <c r="L98" s="32">
        <v>1862.41270136896</v>
      </c>
      <c r="M98" s="53">
        <v>1</v>
      </c>
      <c r="N98" s="35" t="s">
        <v>23</v>
      </c>
    </row>
    <row r="99" spans="1:14">
      <c r="A99" s="35">
        <v>165</v>
      </c>
      <c r="B99" s="35">
        <v>4</v>
      </c>
      <c r="C99" s="35">
        <v>41.25</v>
      </c>
      <c r="D99" s="35">
        <v>440</v>
      </c>
      <c r="E99" s="35">
        <v>2.66666666666667</v>
      </c>
      <c r="F99" s="35">
        <v>200</v>
      </c>
      <c r="G99" s="54" t="s">
        <v>24</v>
      </c>
      <c r="H99" s="35">
        <v>10500</v>
      </c>
      <c r="I99" s="38" t="s">
        <v>20</v>
      </c>
      <c r="J99" s="35">
        <v>329.1</v>
      </c>
      <c r="K99" s="35">
        <v>43.2</v>
      </c>
      <c r="L99" s="35">
        <v>1759.77686937618</v>
      </c>
      <c r="M99" s="55">
        <v>0.944890929965556</v>
      </c>
      <c r="N99" s="35" t="s">
        <v>23</v>
      </c>
    </row>
    <row r="100" spans="1:14">
      <c r="A100" s="35">
        <v>165</v>
      </c>
      <c r="B100" s="35">
        <v>4</v>
      </c>
      <c r="C100" s="35">
        <v>41.25</v>
      </c>
      <c r="D100" s="35">
        <v>440</v>
      </c>
      <c r="E100" s="35">
        <v>2.66666666666667</v>
      </c>
      <c r="F100" s="35">
        <v>400</v>
      </c>
      <c r="G100" s="54" t="s">
        <v>25</v>
      </c>
      <c r="H100" s="35">
        <v>32000</v>
      </c>
      <c r="I100" s="38" t="s">
        <v>20</v>
      </c>
      <c r="J100" s="35">
        <v>329.1</v>
      </c>
      <c r="K100" s="35">
        <v>43.2</v>
      </c>
      <c r="L100" s="35">
        <v>1640.03506538461</v>
      </c>
      <c r="M100" s="55">
        <v>0.880597014925375</v>
      </c>
      <c r="N100" s="35" t="s">
        <v>23</v>
      </c>
    </row>
    <row r="101" spans="1:14">
      <c r="A101" s="35">
        <v>165</v>
      </c>
      <c r="B101" s="35">
        <v>4</v>
      </c>
      <c r="C101" s="35">
        <v>41.25</v>
      </c>
      <c r="D101" s="35">
        <v>440</v>
      </c>
      <c r="E101" s="35">
        <v>2.66666666666667</v>
      </c>
      <c r="F101" s="35">
        <v>600</v>
      </c>
      <c r="G101" s="54" t="s">
        <v>26</v>
      </c>
      <c r="H101" s="35">
        <v>86000</v>
      </c>
      <c r="I101" s="38" t="s">
        <v>20</v>
      </c>
      <c r="J101" s="35">
        <v>329.1</v>
      </c>
      <c r="K101" s="35">
        <v>43.2</v>
      </c>
      <c r="L101" s="35">
        <v>1503.18728939424</v>
      </c>
      <c r="M101" s="55">
        <v>0.807118254879452</v>
      </c>
      <c r="N101" s="35" t="s">
        <v>23</v>
      </c>
    </row>
    <row r="102" spans="1:14">
      <c r="A102" s="35">
        <v>165</v>
      </c>
      <c r="B102" s="35">
        <v>4</v>
      </c>
      <c r="C102" s="35">
        <v>41.25</v>
      </c>
      <c r="D102" s="35">
        <v>440</v>
      </c>
      <c r="E102" s="35">
        <v>2.66666666666667</v>
      </c>
      <c r="F102" s="35">
        <v>800</v>
      </c>
      <c r="G102" s="54" t="s">
        <v>27</v>
      </c>
      <c r="H102" s="35">
        <v>215000</v>
      </c>
      <c r="I102" s="38" t="s">
        <v>20</v>
      </c>
      <c r="J102" s="35">
        <v>329.1</v>
      </c>
      <c r="K102" s="35">
        <v>43.2</v>
      </c>
      <c r="L102" s="35">
        <v>1400.55145740146</v>
      </c>
      <c r="M102" s="55">
        <v>0.752009184845008</v>
      </c>
      <c r="N102" s="35" t="s">
        <v>23</v>
      </c>
    </row>
    <row r="103" spans="1:14">
      <c r="A103" s="32">
        <v>165</v>
      </c>
      <c r="B103" s="32">
        <v>4</v>
      </c>
      <c r="C103" s="32">
        <v>41.25</v>
      </c>
      <c r="D103" s="32">
        <v>440</v>
      </c>
      <c r="E103" s="32">
        <v>2.66666666666667</v>
      </c>
      <c r="F103" s="32">
        <v>20</v>
      </c>
      <c r="G103" s="31">
        <v>0</v>
      </c>
      <c r="H103" s="32">
        <v>0</v>
      </c>
      <c r="I103" s="33" t="s">
        <v>14</v>
      </c>
      <c r="J103" s="32">
        <v>329.1</v>
      </c>
      <c r="K103" s="32">
        <v>48.7</v>
      </c>
      <c r="L103" s="32">
        <v>1969.32502636144</v>
      </c>
      <c r="M103" s="53">
        <v>1</v>
      </c>
      <c r="N103" s="35" t="s">
        <v>23</v>
      </c>
    </row>
    <row r="104" spans="1:14">
      <c r="A104" s="35">
        <v>165</v>
      </c>
      <c r="B104" s="35">
        <v>4</v>
      </c>
      <c r="C104" s="35">
        <v>41.25</v>
      </c>
      <c r="D104" s="35">
        <v>440</v>
      </c>
      <c r="E104" s="35">
        <v>2.66666666666667</v>
      </c>
      <c r="F104" s="35">
        <v>200</v>
      </c>
      <c r="G104" s="54" t="s">
        <v>24</v>
      </c>
      <c r="H104" s="35">
        <v>10500</v>
      </c>
      <c r="I104" s="38" t="s">
        <v>20</v>
      </c>
      <c r="J104" s="35">
        <v>329.1</v>
      </c>
      <c r="K104" s="35">
        <v>48.7</v>
      </c>
      <c r="L104" s="35">
        <v>1772.60634837528</v>
      </c>
      <c r="M104" s="55">
        <v>0.900108577633007</v>
      </c>
      <c r="N104" s="35" t="s">
        <v>23</v>
      </c>
    </row>
    <row r="105" spans="1:14">
      <c r="A105" s="35">
        <v>165</v>
      </c>
      <c r="B105" s="35">
        <v>4</v>
      </c>
      <c r="C105" s="35">
        <v>41.25</v>
      </c>
      <c r="D105" s="35">
        <v>440</v>
      </c>
      <c r="E105" s="35">
        <v>2.66666666666667</v>
      </c>
      <c r="F105" s="35">
        <v>400</v>
      </c>
      <c r="G105" s="54" t="s">
        <v>25</v>
      </c>
      <c r="H105" s="35">
        <v>32000</v>
      </c>
      <c r="I105" s="38" t="s">
        <v>20</v>
      </c>
      <c r="J105" s="35">
        <v>329.1</v>
      </c>
      <c r="K105" s="35">
        <v>48.7</v>
      </c>
      <c r="L105" s="35">
        <v>1702.04421388024</v>
      </c>
      <c r="M105" s="55">
        <v>0.864277958740497</v>
      </c>
      <c r="N105" s="35" t="s">
        <v>23</v>
      </c>
    </row>
    <row r="106" spans="1:14">
      <c r="A106" s="35">
        <v>165</v>
      </c>
      <c r="B106" s="35">
        <v>4</v>
      </c>
      <c r="C106" s="35">
        <v>41.25</v>
      </c>
      <c r="D106" s="35">
        <v>440</v>
      </c>
      <c r="E106" s="35">
        <v>2.66666666666667</v>
      </c>
      <c r="F106" s="35">
        <v>600</v>
      </c>
      <c r="G106" s="54" t="s">
        <v>26</v>
      </c>
      <c r="H106" s="35">
        <v>86000</v>
      </c>
      <c r="I106" s="38" t="s">
        <v>20</v>
      </c>
      <c r="J106" s="35">
        <v>329.1</v>
      </c>
      <c r="K106" s="35">
        <v>48.7</v>
      </c>
      <c r="L106" s="35">
        <v>1513.87852189348</v>
      </c>
      <c r="M106" s="55">
        <v>0.768729641693809</v>
      </c>
      <c r="N106" s="35" t="s">
        <v>23</v>
      </c>
    </row>
    <row r="107" spans="1:14">
      <c r="A107" s="35">
        <v>165</v>
      </c>
      <c r="B107" s="35">
        <v>4</v>
      </c>
      <c r="C107" s="35">
        <v>41.25</v>
      </c>
      <c r="D107" s="35">
        <v>440</v>
      </c>
      <c r="E107" s="35">
        <v>2.66666666666667</v>
      </c>
      <c r="F107" s="35">
        <v>800</v>
      </c>
      <c r="G107" s="54" t="s">
        <v>27</v>
      </c>
      <c r="H107" s="35">
        <v>215000</v>
      </c>
      <c r="I107" s="38" t="s">
        <v>20</v>
      </c>
      <c r="J107" s="35">
        <v>329.1</v>
      </c>
      <c r="K107" s="35">
        <v>48.7</v>
      </c>
      <c r="L107" s="35">
        <v>1436.9016478989</v>
      </c>
      <c r="M107" s="55">
        <v>0.729641693811074</v>
      </c>
      <c r="N107" s="35" t="s">
        <v>23</v>
      </c>
    </row>
    <row r="108" spans="1:14">
      <c r="A108" s="32">
        <v>165</v>
      </c>
      <c r="B108" s="32">
        <v>4</v>
      </c>
      <c r="C108" s="32">
        <v>41.25</v>
      </c>
      <c r="D108" s="32">
        <v>440</v>
      </c>
      <c r="E108" s="32">
        <v>2.66666666666667</v>
      </c>
      <c r="F108" s="32">
        <v>20</v>
      </c>
      <c r="G108" s="31">
        <v>0</v>
      </c>
      <c r="H108" s="32">
        <v>0</v>
      </c>
      <c r="I108" s="33" t="s">
        <v>14</v>
      </c>
      <c r="J108" s="32">
        <v>329.1</v>
      </c>
      <c r="K108" s="32">
        <v>41.4</v>
      </c>
      <c r="L108" s="32">
        <v>2018.50469585798</v>
      </c>
      <c r="M108" s="53">
        <v>1</v>
      </c>
      <c r="N108" s="35" t="s">
        <v>23</v>
      </c>
    </row>
    <row r="109" spans="1:14">
      <c r="A109" s="35">
        <v>165</v>
      </c>
      <c r="B109" s="35">
        <v>4</v>
      </c>
      <c r="C109" s="35">
        <v>41.25</v>
      </c>
      <c r="D109" s="35">
        <v>440</v>
      </c>
      <c r="E109" s="35">
        <v>2.66666666666667</v>
      </c>
      <c r="F109" s="35">
        <v>200</v>
      </c>
      <c r="G109" s="54" t="s">
        <v>24</v>
      </c>
      <c r="H109" s="35">
        <v>10500</v>
      </c>
      <c r="I109" s="38" t="s">
        <v>20</v>
      </c>
      <c r="J109" s="35">
        <v>329.1</v>
      </c>
      <c r="K109" s="35">
        <v>41.4</v>
      </c>
      <c r="L109" s="35">
        <v>1751.22388337678</v>
      </c>
      <c r="M109" s="55">
        <v>0.867584745762709</v>
      </c>
      <c r="N109" s="35" t="s">
        <v>23</v>
      </c>
    </row>
    <row r="110" spans="1:14">
      <c r="A110" s="35">
        <v>165</v>
      </c>
      <c r="B110" s="35">
        <v>4</v>
      </c>
      <c r="C110" s="35">
        <v>41.25</v>
      </c>
      <c r="D110" s="35">
        <v>440</v>
      </c>
      <c r="E110" s="35">
        <v>2.66666666666667</v>
      </c>
      <c r="F110" s="35">
        <v>400</v>
      </c>
      <c r="G110" s="54" t="s">
        <v>25</v>
      </c>
      <c r="H110" s="35">
        <v>32000</v>
      </c>
      <c r="I110" s="38" t="s">
        <v>20</v>
      </c>
      <c r="J110" s="35">
        <v>329.1</v>
      </c>
      <c r="K110" s="35">
        <v>41.4</v>
      </c>
      <c r="L110" s="35">
        <v>1614.37610738641</v>
      </c>
      <c r="M110" s="55">
        <v>0.799788135593218</v>
      </c>
      <c r="N110" s="35" t="s">
        <v>23</v>
      </c>
    </row>
    <row r="111" spans="1:14">
      <c r="A111" s="35">
        <v>165</v>
      </c>
      <c r="B111" s="35">
        <v>4</v>
      </c>
      <c r="C111" s="35">
        <v>41.25</v>
      </c>
      <c r="D111" s="35">
        <v>440</v>
      </c>
      <c r="E111" s="35">
        <v>2.66666666666667</v>
      </c>
      <c r="F111" s="35">
        <v>600</v>
      </c>
      <c r="G111" s="54" t="s">
        <v>26</v>
      </c>
      <c r="H111" s="35">
        <v>86000</v>
      </c>
      <c r="I111" s="38" t="s">
        <v>20</v>
      </c>
      <c r="J111" s="35">
        <v>329.1</v>
      </c>
      <c r="K111" s="35">
        <v>41.4</v>
      </c>
      <c r="L111" s="35">
        <v>1462.56060589709</v>
      </c>
      <c r="M111" s="55">
        <v>0.724576271186438</v>
      </c>
      <c r="N111" s="35" t="s">
        <v>23</v>
      </c>
    </row>
    <row r="112" spans="1:14">
      <c r="A112" s="35">
        <v>165</v>
      </c>
      <c r="B112" s="35">
        <v>4</v>
      </c>
      <c r="C112" s="35">
        <v>41.25</v>
      </c>
      <c r="D112" s="35">
        <v>440</v>
      </c>
      <c r="E112" s="35">
        <v>2.66666666666667</v>
      </c>
      <c r="F112" s="35">
        <v>800</v>
      </c>
      <c r="G112" s="54" t="s">
        <v>27</v>
      </c>
      <c r="H112" s="35">
        <v>215000</v>
      </c>
      <c r="I112" s="38" t="s">
        <v>20</v>
      </c>
      <c r="J112" s="35">
        <v>329.1</v>
      </c>
      <c r="K112" s="35">
        <v>41.4</v>
      </c>
      <c r="L112" s="35">
        <v>1285.08614640958</v>
      </c>
      <c r="M112" s="55">
        <v>0.63665254237288</v>
      </c>
      <c r="N112" s="35" t="s">
        <v>23</v>
      </c>
    </row>
    <row r="113" spans="1:14">
      <c r="A113" s="35">
        <v>165</v>
      </c>
      <c r="B113" s="35">
        <v>4</v>
      </c>
      <c r="C113" s="35">
        <v>41.25</v>
      </c>
      <c r="D113" s="35">
        <v>440</v>
      </c>
      <c r="E113" s="35">
        <v>2.66666666666667</v>
      </c>
      <c r="F113" s="35">
        <v>400</v>
      </c>
      <c r="G113" s="54" t="s">
        <v>25</v>
      </c>
      <c r="H113" s="35">
        <v>32000</v>
      </c>
      <c r="I113" s="38" t="s">
        <v>16</v>
      </c>
      <c r="J113" s="35">
        <v>329.1</v>
      </c>
      <c r="K113" s="35">
        <v>41.4</v>
      </c>
      <c r="L113" s="35">
        <v>1791.85056687393</v>
      </c>
      <c r="M113" s="55">
        <v>0.887711864406781</v>
      </c>
      <c r="N113" s="35" t="s">
        <v>23</v>
      </c>
    </row>
    <row r="114" spans="1:14">
      <c r="A114" s="35">
        <v>165</v>
      </c>
      <c r="B114" s="35">
        <v>4</v>
      </c>
      <c r="C114" s="35">
        <v>41.25</v>
      </c>
      <c r="D114" s="35">
        <v>440</v>
      </c>
      <c r="E114" s="35">
        <v>2.66666666666667</v>
      </c>
      <c r="F114" s="35">
        <v>600</v>
      </c>
      <c r="G114" s="54" t="s">
        <v>26</v>
      </c>
      <c r="H114" s="35">
        <v>86000</v>
      </c>
      <c r="I114" s="38" t="s">
        <v>16</v>
      </c>
      <c r="J114" s="35">
        <v>329.1</v>
      </c>
      <c r="K114" s="35">
        <v>41.4</v>
      </c>
      <c r="L114" s="35">
        <v>1441.1781408986</v>
      </c>
      <c r="M114" s="55">
        <v>0.713983050847458</v>
      </c>
      <c r="N114" s="35" t="s">
        <v>23</v>
      </c>
    </row>
    <row r="115" spans="1:14">
      <c r="A115" s="56">
        <v>108</v>
      </c>
      <c r="B115" s="56">
        <v>4</v>
      </c>
      <c r="C115" s="56">
        <f t="shared" ref="C115:C138" si="0">A115/B115</f>
        <v>27</v>
      </c>
      <c r="D115" s="56">
        <v>324</v>
      </c>
      <c r="E115" s="56">
        <v>3</v>
      </c>
      <c r="F115" s="56">
        <v>20</v>
      </c>
      <c r="G115" s="57">
        <v>0</v>
      </c>
      <c r="H115" s="56">
        <v>0</v>
      </c>
      <c r="I115" s="58" t="s">
        <v>14</v>
      </c>
      <c r="J115" s="56">
        <v>430</v>
      </c>
      <c r="K115" s="56">
        <v>56</v>
      </c>
      <c r="L115" s="56">
        <v>1202</v>
      </c>
      <c r="M115" s="59">
        <v>1</v>
      </c>
      <c r="N115" s="60" t="s">
        <v>28</v>
      </c>
    </row>
    <row r="116" spans="1:14">
      <c r="A116" s="56">
        <v>108</v>
      </c>
      <c r="B116" s="56">
        <v>4</v>
      </c>
      <c r="C116" s="56">
        <f t="shared" si="0"/>
        <v>27</v>
      </c>
      <c r="D116" s="56">
        <v>324</v>
      </c>
      <c r="E116" s="56">
        <v>3</v>
      </c>
      <c r="F116" s="56">
        <v>20</v>
      </c>
      <c r="G116" s="57">
        <v>0</v>
      </c>
      <c r="H116" s="56">
        <v>0</v>
      </c>
      <c r="I116" s="58" t="s">
        <v>14</v>
      </c>
      <c r="J116" s="56">
        <v>430</v>
      </c>
      <c r="K116" s="56">
        <v>61</v>
      </c>
      <c r="L116" s="56">
        <v>1343</v>
      </c>
      <c r="M116" s="59">
        <v>1</v>
      </c>
      <c r="N116" s="60" t="s">
        <v>28</v>
      </c>
    </row>
    <row r="117" spans="1:14">
      <c r="A117" s="56">
        <v>108</v>
      </c>
      <c r="B117" s="56">
        <v>4</v>
      </c>
      <c r="C117" s="56">
        <f t="shared" si="0"/>
        <v>27</v>
      </c>
      <c r="D117" s="56">
        <v>324</v>
      </c>
      <c r="E117" s="56">
        <v>3</v>
      </c>
      <c r="F117" s="56">
        <v>20</v>
      </c>
      <c r="G117" s="57">
        <v>0</v>
      </c>
      <c r="H117" s="56">
        <v>0</v>
      </c>
      <c r="I117" s="58" t="s">
        <v>14</v>
      </c>
      <c r="J117" s="56">
        <v>430</v>
      </c>
      <c r="K117" s="56">
        <v>84</v>
      </c>
      <c r="L117" s="56">
        <v>1447</v>
      </c>
      <c r="M117" s="59">
        <v>1</v>
      </c>
      <c r="N117" s="60" t="s">
        <v>28</v>
      </c>
    </row>
    <row r="118" spans="1:14">
      <c r="A118" s="56">
        <v>108</v>
      </c>
      <c r="B118" s="56">
        <v>4</v>
      </c>
      <c r="C118" s="56">
        <f t="shared" si="0"/>
        <v>27</v>
      </c>
      <c r="D118" s="56">
        <v>324</v>
      </c>
      <c r="E118" s="56">
        <v>3</v>
      </c>
      <c r="F118" s="56">
        <v>20</v>
      </c>
      <c r="G118" s="57">
        <v>0</v>
      </c>
      <c r="H118" s="56">
        <v>0</v>
      </c>
      <c r="I118" s="58" t="s">
        <v>14</v>
      </c>
      <c r="J118" s="56">
        <v>430</v>
      </c>
      <c r="K118" s="56">
        <v>100</v>
      </c>
      <c r="L118" s="56">
        <v>1437</v>
      </c>
      <c r="M118" s="59">
        <v>1</v>
      </c>
      <c r="N118" s="60" t="s">
        <v>28</v>
      </c>
    </row>
    <row r="119" spans="1:14">
      <c r="A119" s="60">
        <v>108</v>
      </c>
      <c r="B119" s="60">
        <v>4</v>
      </c>
      <c r="C119" s="60">
        <f t="shared" si="0"/>
        <v>27</v>
      </c>
      <c r="D119" s="60">
        <v>324</v>
      </c>
      <c r="E119" s="60">
        <v>3</v>
      </c>
      <c r="F119" s="60">
        <v>300</v>
      </c>
      <c r="G119" s="61">
        <v>400</v>
      </c>
      <c r="H119" s="60">
        <f>280*300/2+300*120</f>
        <v>78000</v>
      </c>
      <c r="I119" s="62" t="s">
        <v>16</v>
      </c>
      <c r="J119" s="60">
        <v>430</v>
      </c>
      <c r="K119" s="60">
        <v>56</v>
      </c>
      <c r="L119" s="60">
        <v>1333</v>
      </c>
      <c r="M119" s="63">
        <v>1.1089850249584</v>
      </c>
      <c r="N119" s="60" t="s">
        <v>28</v>
      </c>
    </row>
    <row r="120" spans="1:14">
      <c r="A120" s="60">
        <v>108</v>
      </c>
      <c r="B120" s="60">
        <v>4</v>
      </c>
      <c r="C120" s="60">
        <f t="shared" si="0"/>
        <v>27</v>
      </c>
      <c r="D120" s="60">
        <v>324</v>
      </c>
      <c r="E120" s="60">
        <v>3</v>
      </c>
      <c r="F120" s="60">
        <v>300</v>
      </c>
      <c r="G120" s="61">
        <v>400</v>
      </c>
      <c r="H120" s="60">
        <f>280*300/2+300*120</f>
        <v>78000</v>
      </c>
      <c r="I120" s="62" t="s">
        <v>16</v>
      </c>
      <c r="J120" s="60">
        <v>430</v>
      </c>
      <c r="K120" s="60">
        <v>61</v>
      </c>
      <c r="L120" s="60">
        <v>1308</v>
      </c>
      <c r="M120" s="63">
        <v>0.973938942665674</v>
      </c>
      <c r="N120" s="60" t="s">
        <v>28</v>
      </c>
    </row>
    <row r="121" spans="1:14">
      <c r="A121" s="60">
        <v>108</v>
      </c>
      <c r="B121" s="60">
        <v>4</v>
      </c>
      <c r="C121" s="60">
        <f t="shared" si="0"/>
        <v>27</v>
      </c>
      <c r="D121" s="60">
        <v>324</v>
      </c>
      <c r="E121" s="60">
        <v>3</v>
      </c>
      <c r="F121" s="60">
        <v>300</v>
      </c>
      <c r="G121" s="61">
        <v>400</v>
      </c>
      <c r="H121" s="60">
        <f>280*300/2+300*120</f>
        <v>78000</v>
      </c>
      <c r="I121" s="62" t="s">
        <v>16</v>
      </c>
      <c r="J121" s="60">
        <v>430</v>
      </c>
      <c r="K121" s="60">
        <v>84</v>
      </c>
      <c r="L121" s="60">
        <v>1396</v>
      </c>
      <c r="M121" s="63">
        <v>0.964754664823773</v>
      </c>
      <c r="N121" s="60" t="s">
        <v>28</v>
      </c>
    </row>
    <row r="122" spans="1:14">
      <c r="A122" s="60">
        <v>108</v>
      </c>
      <c r="B122" s="60">
        <v>4</v>
      </c>
      <c r="C122" s="60">
        <f t="shared" si="0"/>
        <v>27</v>
      </c>
      <c r="D122" s="60">
        <v>324</v>
      </c>
      <c r="E122" s="60">
        <v>3</v>
      </c>
      <c r="F122" s="60">
        <v>300</v>
      </c>
      <c r="G122" s="61">
        <v>400</v>
      </c>
      <c r="H122" s="60">
        <f>280*300/2+300*120</f>
        <v>78000</v>
      </c>
      <c r="I122" s="62" t="s">
        <v>16</v>
      </c>
      <c r="J122" s="60">
        <v>430</v>
      </c>
      <c r="K122" s="60">
        <v>100</v>
      </c>
      <c r="L122" s="60">
        <v>1422</v>
      </c>
      <c r="M122" s="63">
        <v>0.989561586638831</v>
      </c>
      <c r="N122" s="60" t="s">
        <v>28</v>
      </c>
    </row>
    <row r="123" spans="1:14">
      <c r="A123" s="60">
        <v>108</v>
      </c>
      <c r="B123" s="60">
        <v>4</v>
      </c>
      <c r="C123" s="60">
        <f t="shared" si="0"/>
        <v>27</v>
      </c>
      <c r="D123" s="60">
        <v>324</v>
      </c>
      <c r="E123" s="60">
        <v>3</v>
      </c>
      <c r="F123" s="60">
        <v>700</v>
      </c>
      <c r="G123" s="61" t="s">
        <v>29</v>
      </c>
      <c r="H123" s="60">
        <f>680*700/2+700*120</f>
        <v>322000</v>
      </c>
      <c r="I123" s="62" t="s">
        <v>16</v>
      </c>
      <c r="J123" s="60">
        <v>430</v>
      </c>
      <c r="K123" s="60">
        <v>56</v>
      </c>
      <c r="L123" s="60">
        <v>769</v>
      </c>
      <c r="M123" s="63">
        <v>0.576894223555889</v>
      </c>
      <c r="N123" s="60" t="s">
        <v>28</v>
      </c>
    </row>
    <row r="124" spans="1:14">
      <c r="A124" s="60">
        <v>108</v>
      </c>
      <c r="B124" s="60">
        <v>4</v>
      </c>
      <c r="C124" s="60">
        <f t="shared" si="0"/>
        <v>27</v>
      </c>
      <c r="D124" s="60">
        <v>324</v>
      </c>
      <c r="E124" s="60">
        <v>3</v>
      </c>
      <c r="F124" s="60">
        <v>700</v>
      </c>
      <c r="G124" s="61" t="s">
        <v>29</v>
      </c>
      <c r="H124" s="60">
        <f>680*700/2+700*120</f>
        <v>322000</v>
      </c>
      <c r="I124" s="62" t="s">
        <v>16</v>
      </c>
      <c r="J124" s="60">
        <v>430</v>
      </c>
      <c r="K124" s="60">
        <v>61</v>
      </c>
      <c r="L124" s="60">
        <v>762</v>
      </c>
      <c r="M124" s="63">
        <v>0.582568807339449</v>
      </c>
      <c r="N124" s="60" t="s">
        <v>28</v>
      </c>
    </row>
    <row r="125" spans="1:14">
      <c r="A125" s="60">
        <v>108</v>
      </c>
      <c r="B125" s="60">
        <v>4</v>
      </c>
      <c r="C125" s="60">
        <f t="shared" si="0"/>
        <v>27</v>
      </c>
      <c r="D125" s="60">
        <v>324</v>
      </c>
      <c r="E125" s="60">
        <v>3</v>
      </c>
      <c r="F125" s="60">
        <v>700</v>
      </c>
      <c r="G125" s="61" t="s">
        <v>29</v>
      </c>
      <c r="H125" s="60">
        <f>680*700/2+700*120</f>
        <v>322000</v>
      </c>
      <c r="I125" s="62" t="s">
        <v>16</v>
      </c>
      <c r="J125" s="60">
        <v>430</v>
      </c>
      <c r="K125" s="60">
        <v>84</v>
      </c>
      <c r="L125" s="60">
        <v>747</v>
      </c>
      <c r="M125" s="63">
        <v>0.535100286532951</v>
      </c>
      <c r="N125" s="60" t="s">
        <v>28</v>
      </c>
    </row>
    <row r="126" spans="1:14">
      <c r="A126" s="60">
        <v>108</v>
      </c>
      <c r="B126" s="60">
        <v>4</v>
      </c>
      <c r="C126" s="60">
        <f t="shared" si="0"/>
        <v>27</v>
      </c>
      <c r="D126" s="60">
        <v>324</v>
      </c>
      <c r="E126" s="60">
        <v>3</v>
      </c>
      <c r="F126" s="60">
        <v>700</v>
      </c>
      <c r="G126" s="61" t="s">
        <v>29</v>
      </c>
      <c r="H126" s="60">
        <f>680*700/2+700*120</f>
        <v>322000</v>
      </c>
      <c r="I126" s="62" t="s">
        <v>16</v>
      </c>
      <c r="J126" s="60">
        <v>430</v>
      </c>
      <c r="K126" s="60">
        <v>100</v>
      </c>
      <c r="L126" s="60">
        <v>633</v>
      </c>
      <c r="M126" s="63">
        <v>0.445147679324895</v>
      </c>
      <c r="N126" s="60" t="s">
        <v>28</v>
      </c>
    </row>
    <row r="127" spans="1:14">
      <c r="A127" s="56">
        <v>108</v>
      </c>
      <c r="B127" s="56">
        <v>4</v>
      </c>
      <c r="C127" s="56">
        <f t="shared" si="0"/>
        <v>27</v>
      </c>
      <c r="D127" s="56">
        <v>324</v>
      </c>
      <c r="E127" s="56">
        <v>3</v>
      </c>
      <c r="F127" s="56">
        <v>20</v>
      </c>
      <c r="G127" s="57">
        <v>0</v>
      </c>
      <c r="H127" s="56">
        <v>0</v>
      </c>
      <c r="I127" s="58" t="s">
        <v>14</v>
      </c>
      <c r="J127" s="56">
        <v>430</v>
      </c>
      <c r="K127" s="56">
        <v>65</v>
      </c>
      <c r="L127" s="56">
        <v>1370</v>
      </c>
      <c r="M127" s="59">
        <v>1</v>
      </c>
      <c r="N127" s="60" t="s">
        <v>28</v>
      </c>
    </row>
    <row r="128" spans="1:14">
      <c r="A128" s="56">
        <v>108</v>
      </c>
      <c r="B128" s="56">
        <v>4</v>
      </c>
      <c r="C128" s="56">
        <f t="shared" si="0"/>
        <v>27</v>
      </c>
      <c r="D128" s="56">
        <v>324</v>
      </c>
      <c r="E128" s="56">
        <v>3</v>
      </c>
      <c r="F128" s="56">
        <v>20</v>
      </c>
      <c r="G128" s="57">
        <v>0</v>
      </c>
      <c r="H128" s="56">
        <v>0</v>
      </c>
      <c r="I128" s="58" t="s">
        <v>14</v>
      </c>
      <c r="J128" s="56">
        <v>430</v>
      </c>
      <c r="K128" s="56">
        <v>75</v>
      </c>
      <c r="L128" s="56">
        <v>1479</v>
      </c>
      <c r="M128" s="59">
        <v>1</v>
      </c>
      <c r="N128" s="60" t="s">
        <v>28</v>
      </c>
    </row>
    <row r="129" spans="1:14">
      <c r="A129" s="56">
        <v>108</v>
      </c>
      <c r="B129" s="56">
        <v>4</v>
      </c>
      <c r="C129" s="56">
        <f t="shared" si="0"/>
        <v>27</v>
      </c>
      <c r="D129" s="56">
        <v>324</v>
      </c>
      <c r="E129" s="56">
        <v>3</v>
      </c>
      <c r="F129" s="56">
        <v>20</v>
      </c>
      <c r="G129" s="57">
        <v>0</v>
      </c>
      <c r="H129" s="56">
        <v>0</v>
      </c>
      <c r="I129" s="58" t="s">
        <v>14</v>
      </c>
      <c r="J129" s="56">
        <v>430</v>
      </c>
      <c r="K129" s="56">
        <v>88</v>
      </c>
      <c r="L129" s="56">
        <v>1580</v>
      </c>
      <c r="M129" s="59">
        <v>1</v>
      </c>
      <c r="N129" s="60" t="s">
        <v>28</v>
      </c>
    </row>
    <row r="130" spans="1:14">
      <c r="A130" s="56">
        <v>108</v>
      </c>
      <c r="B130" s="56">
        <v>4</v>
      </c>
      <c r="C130" s="56">
        <f t="shared" si="0"/>
        <v>27</v>
      </c>
      <c r="D130" s="56">
        <v>324</v>
      </c>
      <c r="E130" s="56">
        <v>3</v>
      </c>
      <c r="F130" s="56">
        <v>20</v>
      </c>
      <c r="G130" s="57">
        <v>0</v>
      </c>
      <c r="H130" s="56">
        <v>0</v>
      </c>
      <c r="I130" s="58" t="s">
        <v>14</v>
      </c>
      <c r="J130" s="56">
        <v>430</v>
      </c>
      <c r="K130" s="56">
        <v>110</v>
      </c>
      <c r="L130" s="56">
        <v>1632</v>
      </c>
      <c r="M130" s="59">
        <v>1</v>
      </c>
      <c r="N130" s="60" t="s">
        <v>28</v>
      </c>
    </row>
    <row r="131" spans="1:14">
      <c r="A131" s="60">
        <v>108</v>
      </c>
      <c r="B131" s="60">
        <v>4</v>
      </c>
      <c r="C131" s="60">
        <f t="shared" si="0"/>
        <v>27</v>
      </c>
      <c r="D131" s="60">
        <v>324</v>
      </c>
      <c r="E131" s="60">
        <v>3</v>
      </c>
      <c r="F131" s="60">
        <v>300</v>
      </c>
      <c r="G131" s="61">
        <v>400</v>
      </c>
      <c r="H131" s="60">
        <f>280*300/2+300*120</f>
        <v>78000</v>
      </c>
      <c r="I131" s="62" t="s">
        <v>16</v>
      </c>
      <c r="J131" s="60">
        <v>430</v>
      </c>
      <c r="K131" s="60">
        <v>65</v>
      </c>
      <c r="L131" s="60">
        <v>1660</v>
      </c>
      <c r="M131" s="63">
        <v>1.21167883211679</v>
      </c>
      <c r="N131" s="60" t="s">
        <v>28</v>
      </c>
    </row>
    <row r="132" spans="1:14">
      <c r="A132" s="60">
        <v>108</v>
      </c>
      <c r="B132" s="60">
        <v>4</v>
      </c>
      <c r="C132" s="60">
        <f t="shared" si="0"/>
        <v>27</v>
      </c>
      <c r="D132" s="60">
        <v>324</v>
      </c>
      <c r="E132" s="60">
        <v>3</v>
      </c>
      <c r="F132" s="60">
        <v>300</v>
      </c>
      <c r="G132" s="61">
        <v>400</v>
      </c>
      <c r="H132" s="60">
        <f>280*300/2+300*120</f>
        <v>78000</v>
      </c>
      <c r="I132" s="62" t="s">
        <v>16</v>
      </c>
      <c r="J132" s="60">
        <v>430</v>
      </c>
      <c r="K132" s="60">
        <v>75</v>
      </c>
      <c r="L132" s="60">
        <v>1638</v>
      </c>
      <c r="M132" s="63">
        <v>1.10750507099391</v>
      </c>
      <c r="N132" s="60" t="s">
        <v>28</v>
      </c>
    </row>
    <row r="133" spans="1:14">
      <c r="A133" s="60">
        <v>108</v>
      </c>
      <c r="B133" s="60">
        <v>4</v>
      </c>
      <c r="C133" s="60">
        <f t="shared" si="0"/>
        <v>27</v>
      </c>
      <c r="D133" s="60">
        <v>324</v>
      </c>
      <c r="E133" s="60">
        <v>3</v>
      </c>
      <c r="F133" s="60">
        <v>300</v>
      </c>
      <c r="G133" s="61">
        <v>400</v>
      </c>
      <c r="H133" s="60">
        <f>280*300/2+300*120</f>
        <v>78000</v>
      </c>
      <c r="I133" s="62" t="s">
        <v>16</v>
      </c>
      <c r="J133" s="60">
        <v>430</v>
      </c>
      <c r="K133" s="60">
        <v>88</v>
      </c>
      <c r="L133" s="60">
        <v>1681</v>
      </c>
      <c r="M133" s="63">
        <v>1.06392405063291</v>
      </c>
      <c r="N133" s="60" t="s">
        <v>28</v>
      </c>
    </row>
    <row r="134" spans="1:14">
      <c r="A134" s="60">
        <v>108</v>
      </c>
      <c r="B134" s="60">
        <v>4</v>
      </c>
      <c r="C134" s="60">
        <f t="shared" si="0"/>
        <v>27</v>
      </c>
      <c r="D134" s="60">
        <v>324</v>
      </c>
      <c r="E134" s="60">
        <v>3</v>
      </c>
      <c r="F134" s="60">
        <v>300</v>
      </c>
      <c r="G134" s="61">
        <v>400</v>
      </c>
      <c r="H134" s="60">
        <f>280*300/2+300*120</f>
        <v>78000</v>
      </c>
      <c r="I134" s="62" t="s">
        <v>16</v>
      </c>
      <c r="J134" s="60">
        <v>430</v>
      </c>
      <c r="K134" s="60">
        <v>110</v>
      </c>
      <c r="L134" s="60">
        <v>1629</v>
      </c>
      <c r="M134" s="63">
        <v>0.998161764705882</v>
      </c>
      <c r="N134" s="60" t="s">
        <v>28</v>
      </c>
    </row>
    <row r="135" spans="1:14">
      <c r="A135" s="60">
        <v>108</v>
      </c>
      <c r="B135" s="60">
        <v>4</v>
      </c>
      <c r="C135" s="60">
        <f t="shared" si="0"/>
        <v>27</v>
      </c>
      <c r="D135" s="60">
        <v>324</v>
      </c>
      <c r="E135" s="60">
        <v>3</v>
      </c>
      <c r="F135" s="60">
        <v>700</v>
      </c>
      <c r="G135" s="61" t="s">
        <v>29</v>
      </c>
      <c r="H135" s="60">
        <f>680*700/2+700*120</f>
        <v>322000</v>
      </c>
      <c r="I135" s="62" t="s">
        <v>16</v>
      </c>
      <c r="J135" s="60">
        <v>430</v>
      </c>
      <c r="K135" s="60">
        <v>65</v>
      </c>
      <c r="L135" s="60">
        <v>904</v>
      </c>
      <c r="M135" s="63">
        <v>0.544578313253012</v>
      </c>
      <c r="N135" s="60" t="s">
        <v>28</v>
      </c>
    </row>
    <row r="136" spans="1:14">
      <c r="A136" s="60">
        <v>108</v>
      </c>
      <c r="B136" s="60">
        <v>4</v>
      </c>
      <c r="C136" s="60">
        <f t="shared" si="0"/>
        <v>27</v>
      </c>
      <c r="D136" s="60">
        <v>324</v>
      </c>
      <c r="E136" s="60">
        <v>3</v>
      </c>
      <c r="F136" s="60">
        <v>700</v>
      </c>
      <c r="G136" s="61" t="s">
        <v>29</v>
      </c>
      <c r="H136" s="60">
        <f>680*700/2+700*120</f>
        <v>322000</v>
      </c>
      <c r="I136" s="62" t="s">
        <v>16</v>
      </c>
      <c r="J136" s="60">
        <v>430</v>
      </c>
      <c r="K136" s="60">
        <v>75</v>
      </c>
      <c r="L136" s="60">
        <v>877</v>
      </c>
      <c r="M136" s="63">
        <v>0.535409035409035</v>
      </c>
      <c r="N136" s="60" t="s">
        <v>28</v>
      </c>
    </row>
    <row r="137" spans="1:14">
      <c r="A137" s="60">
        <v>108</v>
      </c>
      <c r="B137" s="60">
        <v>4</v>
      </c>
      <c r="C137" s="60">
        <f t="shared" si="0"/>
        <v>27</v>
      </c>
      <c r="D137" s="60">
        <v>324</v>
      </c>
      <c r="E137" s="60">
        <v>3</v>
      </c>
      <c r="F137" s="60">
        <v>700</v>
      </c>
      <c r="G137" s="61" t="s">
        <v>29</v>
      </c>
      <c r="H137" s="60">
        <f>680*700/2+700*120</f>
        <v>322000</v>
      </c>
      <c r="I137" s="62" t="s">
        <v>16</v>
      </c>
      <c r="J137" s="60">
        <v>430</v>
      </c>
      <c r="K137" s="60">
        <v>88</v>
      </c>
      <c r="L137" s="60">
        <v>864</v>
      </c>
      <c r="M137" s="63">
        <v>0.513979773944081</v>
      </c>
      <c r="N137" s="60" t="s">
        <v>28</v>
      </c>
    </row>
    <row r="138" spans="1:14">
      <c r="A138" s="60">
        <v>108</v>
      </c>
      <c r="B138" s="60">
        <v>4</v>
      </c>
      <c r="C138" s="60">
        <f t="shared" si="0"/>
        <v>27</v>
      </c>
      <c r="D138" s="60">
        <v>324</v>
      </c>
      <c r="E138" s="60">
        <v>3</v>
      </c>
      <c r="F138" s="60">
        <v>700</v>
      </c>
      <c r="G138" s="61" t="s">
        <v>29</v>
      </c>
      <c r="H138" s="60">
        <f>680*700/2+700*120</f>
        <v>322000</v>
      </c>
      <c r="I138" s="62" t="s">
        <v>16</v>
      </c>
      <c r="J138" s="60">
        <v>430</v>
      </c>
      <c r="K138" s="60">
        <v>110</v>
      </c>
      <c r="L138" s="60">
        <v>821</v>
      </c>
      <c r="M138" s="63">
        <v>0.503990178023327</v>
      </c>
      <c r="N138" s="60" t="s">
        <v>28</v>
      </c>
    </row>
    <row r="139" spans="1:14">
      <c r="A139" s="32">
        <v>219</v>
      </c>
      <c r="B139" s="32">
        <v>6</v>
      </c>
      <c r="C139" s="32">
        <f t="array" ref="C139:C162">A139:A162/B139:B162</f>
        <v>36.5</v>
      </c>
      <c r="D139" s="32">
        <v>1000</v>
      </c>
      <c r="E139" s="32">
        <v>4.5662100456621</v>
      </c>
      <c r="F139" s="32">
        <v>20</v>
      </c>
      <c r="G139" s="31">
        <v>0</v>
      </c>
      <c r="H139" s="32">
        <v>0</v>
      </c>
      <c r="I139" s="33" t="s">
        <v>14</v>
      </c>
      <c r="J139" s="32">
        <v>440</v>
      </c>
      <c r="K139" s="32">
        <v>85</v>
      </c>
      <c r="L139" s="32">
        <v>4396</v>
      </c>
      <c r="M139" s="53">
        <v>1</v>
      </c>
      <c r="N139" s="35" t="s">
        <v>30</v>
      </c>
    </row>
    <row r="140" spans="1:14">
      <c r="A140" s="32">
        <v>219</v>
      </c>
      <c r="B140" s="32">
        <v>6</v>
      </c>
      <c r="C140" s="32">
        <v>36.5</v>
      </c>
      <c r="D140" s="32">
        <v>1000</v>
      </c>
      <c r="E140" s="32">
        <v>4.5662100456621</v>
      </c>
      <c r="F140" s="32">
        <v>20</v>
      </c>
      <c r="G140" s="31">
        <v>0</v>
      </c>
      <c r="H140" s="32">
        <v>0</v>
      </c>
      <c r="I140" s="33" t="s">
        <v>14</v>
      </c>
      <c r="J140" s="32">
        <v>440</v>
      </c>
      <c r="K140" s="32">
        <v>111</v>
      </c>
      <c r="L140" s="32">
        <v>4905</v>
      </c>
      <c r="M140" s="53">
        <v>1</v>
      </c>
      <c r="N140" s="35" t="s">
        <v>30</v>
      </c>
    </row>
    <row r="141" spans="1:14">
      <c r="A141" s="32">
        <v>219</v>
      </c>
      <c r="B141" s="32">
        <v>6</v>
      </c>
      <c r="C141" s="32">
        <v>36.5</v>
      </c>
      <c r="D141" s="32">
        <v>1000</v>
      </c>
      <c r="E141" s="32">
        <v>4.5662100456621</v>
      </c>
      <c r="F141" s="32">
        <v>20</v>
      </c>
      <c r="G141" s="31">
        <v>0</v>
      </c>
      <c r="H141" s="32">
        <v>0</v>
      </c>
      <c r="I141" s="33" t="s">
        <v>14</v>
      </c>
      <c r="J141" s="32">
        <v>440</v>
      </c>
      <c r="K141" s="32">
        <v>125</v>
      </c>
      <c r="L141" s="32">
        <v>5353</v>
      </c>
      <c r="M141" s="53">
        <v>1</v>
      </c>
      <c r="N141" s="35" t="s">
        <v>30</v>
      </c>
    </row>
    <row r="142" spans="1:14">
      <c r="A142" s="32">
        <v>219</v>
      </c>
      <c r="B142" s="32">
        <v>6</v>
      </c>
      <c r="C142" s="32">
        <v>36.5</v>
      </c>
      <c r="D142" s="32">
        <v>1000</v>
      </c>
      <c r="E142" s="32">
        <v>4.5662100456621</v>
      </c>
      <c r="F142" s="32">
        <v>20</v>
      </c>
      <c r="G142" s="31">
        <v>0</v>
      </c>
      <c r="H142" s="32">
        <v>0</v>
      </c>
      <c r="I142" s="33" t="s">
        <v>14</v>
      </c>
      <c r="J142" s="32">
        <v>440</v>
      </c>
      <c r="K142" s="32">
        <v>131</v>
      </c>
      <c r="L142" s="32">
        <v>5532</v>
      </c>
      <c r="M142" s="53">
        <v>1</v>
      </c>
      <c r="N142" s="35" t="s">
        <v>30</v>
      </c>
    </row>
    <row r="143" ht="28.8" customHeight="1" spans="1:14">
      <c r="A143" s="35">
        <v>219</v>
      </c>
      <c r="B143" s="35">
        <v>6</v>
      </c>
      <c r="C143" s="35">
        <v>36.5</v>
      </c>
      <c r="D143" s="35">
        <v>1000</v>
      </c>
      <c r="E143" s="35">
        <v>4.5662100456621</v>
      </c>
      <c r="F143" s="35">
        <v>1110</v>
      </c>
      <c r="G143" s="54">
        <v>180</v>
      </c>
      <c r="H143" s="35">
        <v>173000</v>
      </c>
      <c r="I143" s="38" t="s">
        <v>16</v>
      </c>
      <c r="J143" s="35">
        <v>440</v>
      </c>
      <c r="K143" s="35">
        <v>85</v>
      </c>
      <c r="L143" s="35">
        <v>3146</v>
      </c>
      <c r="M143" s="55">
        <v>0.71565059144677</v>
      </c>
      <c r="N143" s="35" t="s">
        <v>30</v>
      </c>
    </row>
    <row r="144" ht="28.8" customHeight="1" spans="1:14">
      <c r="A144" s="35">
        <v>219</v>
      </c>
      <c r="B144" s="35">
        <v>6</v>
      </c>
      <c r="C144" s="35">
        <v>36.5</v>
      </c>
      <c r="D144" s="35">
        <v>1000</v>
      </c>
      <c r="E144" s="35">
        <v>4.5662100456621</v>
      </c>
      <c r="F144" s="35">
        <v>1110</v>
      </c>
      <c r="G144" s="54">
        <v>180</v>
      </c>
      <c r="H144" s="35">
        <v>173000</v>
      </c>
      <c r="I144" s="38" t="s">
        <v>16</v>
      </c>
      <c r="J144" s="35">
        <v>440</v>
      </c>
      <c r="K144" s="35">
        <v>111</v>
      </c>
      <c r="L144" s="35">
        <v>3225</v>
      </c>
      <c r="M144" s="55">
        <v>0.657492354740061</v>
      </c>
      <c r="N144" s="35" t="s">
        <v>30</v>
      </c>
    </row>
    <row r="145" ht="28.8" customHeight="1" spans="1:14">
      <c r="A145" s="35">
        <v>219</v>
      </c>
      <c r="B145" s="35">
        <v>6</v>
      </c>
      <c r="C145" s="35">
        <v>36.5</v>
      </c>
      <c r="D145" s="35">
        <v>1000</v>
      </c>
      <c r="E145" s="35">
        <v>4.5662100456621</v>
      </c>
      <c r="F145" s="35">
        <v>1110</v>
      </c>
      <c r="G145" s="54">
        <v>180</v>
      </c>
      <c r="H145" s="35">
        <v>173000</v>
      </c>
      <c r="I145" s="38" t="s">
        <v>16</v>
      </c>
      <c r="J145" s="35">
        <v>440</v>
      </c>
      <c r="K145" s="35">
        <v>125</v>
      </c>
      <c r="L145" s="35">
        <v>3680</v>
      </c>
      <c r="M145" s="55">
        <v>0.687464972912386</v>
      </c>
      <c r="N145" s="35" t="s">
        <v>30</v>
      </c>
    </row>
    <row r="146" ht="28.8" customHeight="1" spans="1:14">
      <c r="A146" s="35">
        <v>219</v>
      </c>
      <c r="B146" s="35">
        <v>6</v>
      </c>
      <c r="C146" s="35">
        <v>36.5</v>
      </c>
      <c r="D146" s="35">
        <v>1000</v>
      </c>
      <c r="E146" s="35">
        <v>4.5662100456621</v>
      </c>
      <c r="F146" s="35">
        <v>1110</v>
      </c>
      <c r="G146" s="54">
        <v>180</v>
      </c>
      <c r="H146" s="35">
        <v>173000</v>
      </c>
      <c r="I146" s="38" t="s">
        <v>16</v>
      </c>
      <c r="J146" s="35">
        <v>440</v>
      </c>
      <c r="K146" s="35">
        <v>131</v>
      </c>
      <c r="L146" s="35">
        <v>3754</v>
      </c>
      <c r="M146" s="55">
        <v>0.678597252349964</v>
      </c>
      <c r="N146" s="35" t="s">
        <v>30</v>
      </c>
    </row>
    <row r="147" ht="28.8" customHeight="1" spans="1:14">
      <c r="A147" s="35">
        <v>219</v>
      </c>
      <c r="B147" s="35">
        <v>6</v>
      </c>
      <c r="C147" s="35">
        <v>36.5</v>
      </c>
      <c r="D147" s="35">
        <v>1000</v>
      </c>
      <c r="E147" s="35">
        <v>4.5662100456621</v>
      </c>
      <c r="F147" s="35">
        <v>1050</v>
      </c>
      <c r="G147" s="54">
        <v>180</v>
      </c>
      <c r="H147" s="35">
        <v>100000</v>
      </c>
      <c r="I147" s="38" t="s">
        <v>16</v>
      </c>
      <c r="J147" s="35">
        <v>440</v>
      </c>
      <c r="K147" s="35">
        <v>85</v>
      </c>
      <c r="L147" s="35">
        <v>3583</v>
      </c>
      <c r="M147" s="55">
        <v>1.13890654799746</v>
      </c>
      <c r="N147" s="35" t="s">
        <v>30</v>
      </c>
    </row>
    <row r="148" ht="28.8" customHeight="1" spans="1:14">
      <c r="A148" s="35">
        <v>219</v>
      </c>
      <c r="B148" s="35">
        <v>6</v>
      </c>
      <c r="C148" s="35">
        <v>36.5</v>
      </c>
      <c r="D148" s="35">
        <v>1000</v>
      </c>
      <c r="E148" s="35">
        <v>4.5662100456621</v>
      </c>
      <c r="F148" s="35">
        <v>1050</v>
      </c>
      <c r="G148" s="54">
        <v>180</v>
      </c>
      <c r="H148" s="35">
        <v>100000</v>
      </c>
      <c r="I148" s="38" t="s">
        <v>16</v>
      </c>
      <c r="J148" s="35">
        <v>440</v>
      </c>
      <c r="K148" s="35">
        <v>111</v>
      </c>
      <c r="L148" s="35">
        <v>4410</v>
      </c>
      <c r="M148" s="55">
        <v>1.36744186046512</v>
      </c>
      <c r="N148" s="35" t="s">
        <v>30</v>
      </c>
    </row>
    <row r="149" ht="28.8" customHeight="1" spans="1:14">
      <c r="A149" s="35">
        <v>219</v>
      </c>
      <c r="B149" s="35">
        <v>6</v>
      </c>
      <c r="C149" s="35">
        <v>36.5</v>
      </c>
      <c r="D149" s="35">
        <v>1000</v>
      </c>
      <c r="E149" s="35">
        <v>4.5662100456621</v>
      </c>
      <c r="F149" s="35">
        <v>1050</v>
      </c>
      <c r="G149" s="54">
        <v>180</v>
      </c>
      <c r="H149" s="35">
        <v>100000</v>
      </c>
      <c r="I149" s="38" t="s">
        <v>16</v>
      </c>
      <c r="J149" s="35">
        <v>440</v>
      </c>
      <c r="K149" s="35">
        <v>125</v>
      </c>
      <c r="L149" s="35">
        <v>4662</v>
      </c>
      <c r="M149" s="55">
        <v>1.26684782608696</v>
      </c>
      <c r="N149" s="35" t="s">
        <v>30</v>
      </c>
    </row>
    <row r="150" ht="28.8" customHeight="1" spans="1:14">
      <c r="A150" s="35">
        <v>219</v>
      </c>
      <c r="B150" s="35">
        <v>6</v>
      </c>
      <c r="C150" s="35">
        <v>36.5</v>
      </c>
      <c r="D150" s="35">
        <v>1000</v>
      </c>
      <c r="E150" s="35">
        <v>4.5662100456621</v>
      </c>
      <c r="F150" s="35">
        <v>1050</v>
      </c>
      <c r="G150" s="54">
        <v>180</v>
      </c>
      <c r="H150" s="35">
        <v>100000</v>
      </c>
      <c r="I150" s="38" t="s">
        <v>16</v>
      </c>
      <c r="J150" s="35">
        <v>440</v>
      </c>
      <c r="K150" s="35">
        <v>131</v>
      </c>
      <c r="L150" s="35">
        <v>5069</v>
      </c>
      <c r="M150" s="55">
        <v>1.35029302077784</v>
      </c>
      <c r="N150" s="35" t="s">
        <v>30</v>
      </c>
    </row>
    <row r="151" spans="1:14">
      <c r="A151" s="32">
        <v>377</v>
      </c>
      <c r="B151" s="32">
        <v>10</v>
      </c>
      <c r="C151" s="32">
        <v>37.7</v>
      </c>
      <c r="D151" s="32">
        <v>1200</v>
      </c>
      <c r="E151" s="32">
        <v>3.18302387267904</v>
      </c>
      <c r="F151" s="32">
        <v>20</v>
      </c>
      <c r="G151" s="31">
        <v>0</v>
      </c>
      <c r="H151" s="32">
        <v>0</v>
      </c>
      <c r="I151" s="33" t="s">
        <v>14</v>
      </c>
      <c r="J151" s="32">
        <v>440</v>
      </c>
      <c r="K151" s="32">
        <v>85</v>
      </c>
      <c r="L151" s="32">
        <v>12011</v>
      </c>
      <c r="M151" s="53">
        <v>1</v>
      </c>
      <c r="N151" s="35" t="s">
        <v>30</v>
      </c>
    </row>
    <row r="152" spans="1:14">
      <c r="A152" s="32">
        <v>377</v>
      </c>
      <c r="B152" s="32">
        <v>10</v>
      </c>
      <c r="C152" s="32">
        <v>37.7</v>
      </c>
      <c r="D152" s="32">
        <v>1200</v>
      </c>
      <c r="E152" s="32">
        <v>3.18302387267904</v>
      </c>
      <c r="F152" s="32">
        <v>20</v>
      </c>
      <c r="G152" s="31">
        <v>0</v>
      </c>
      <c r="H152" s="32">
        <v>0</v>
      </c>
      <c r="I152" s="33" t="s">
        <v>14</v>
      </c>
      <c r="J152" s="32">
        <v>440</v>
      </c>
      <c r="K152" s="32">
        <v>111</v>
      </c>
      <c r="L152" s="32">
        <v>13587</v>
      </c>
      <c r="M152" s="53">
        <v>1</v>
      </c>
      <c r="N152" s="35" t="s">
        <v>30</v>
      </c>
    </row>
    <row r="153" spans="1:14">
      <c r="A153" s="32">
        <v>377</v>
      </c>
      <c r="B153" s="32">
        <v>10</v>
      </c>
      <c r="C153" s="32">
        <v>37.7</v>
      </c>
      <c r="D153" s="32">
        <v>1200</v>
      </c>
      <c r="E153" s="32">
        <v>3.18302387267904</v>
      </c>
      <c r="F153" s="32">
        <v>20</v>
      </c>
      <c r="G153" s="31">
        <v>0</v>
      </c>
      <c r="H153" s="32">
        <v>0</v>
      </c>
      <c r="I153" s="33" t="s">
        <v>14</v>
      </c>
      <c r="J153" s="32">
        <v>440</v>
      </c>
      <c r="K153" s="32">
        <v>125</v>
      </c>
      <c r="L153" s="32">
        <v>15526</v>
      </c>
      <c r="M153" s="53">
        <v>1</v>
      </c>
      <c r="N153" s="35" t="s">
        <v>30</v>
      </c>
    </row>
    <row r="154" spans="1:14">
      <c r="A154" s="32">
        <v>377</v>
      </c>
      <c r="B154" s="32">
        <v>10</v>
      </c>
      <c r="C154" s="32">
        <v>37.7</v>
      </c>
      <c r="D154" s="32">
        <v>1200</v>
      </c>
      <c r="E154" s="32">
        <v>3.18302387267904</v>
      </c>
      <c r="F154" s="32">
        <v>20</v>
      </c>
      <c r="G154" s="31">
        <v>0</v>
      </c>
      <c r="H154" s="32">
        <v>0</v>
      </c>
      <c r="I154" s="33" t="s">
        <v>14</v>
      </c>
      <c r="J154" s="32">
        <v>440</v>
      </c>
      <c r="K154" s="32">
        <v>131</v>
      </c>
      <c r="L154" s="32">
        <v>16455</v>
      </c>
      <c r="M154" s="53">
        <v>1</v>
      </c>
      <c r="N154" s="35" t="s">
        <v>30</v>
      </c>
    </row>
    <row r="155" ht="28.8" customHeight="1" spans="1:14">
      <c r="A155" s="35">
        <v>377</v>
      </c>
      <c r="B155" s="35">
        <v>10</v>
      </c>
      <c r="C155" s="35">
        <v>37.7</v>
      </c>
      <c r="D155" s="35">
        <v>1200</v>
      </c>
      <c r="E155" s="35">
        <v>3.18302387267904</v>
      </c>
      <c r="F155" s="35">
        <v>1110</v>
      </c>
      <c r="G155" s="54">
        <v>180</v>
      </c>
      <c r="H155" s="35">
        <v>173000</v>
      </c>
      <c r="I155" s="38" t="s">
        <v>16</v>
      </c>
      <c r="J155" s="35">
        <v>440</v>
      </c>
      <c r="K155" s="35">
        <v>85</v>
      </c>
      <c r="L155" s="35">
        <v>7726</v>
      </c>
      <c r="M155" s="55">
        <v>0.643243693281159</v>
      </c>
      <c r="N155" s="35" t="s">
        <v>30</v>
      </c>
    </row>
    <row r="156" ht="28.8" customHeight="1" spans="1:14">
      <c r="A156" s="35">
        <v>377</v>
      </c>
      <c r="B156" s="35">
        <v>10</v>
      </c>
      <c r="C156" s="35">
        <v>37.7</v>
      </c>
      <c r="D156" s="35">
        <v>1200</v>
      </c>
      <c r="E156" s="35">
        <v>3.18302387267904</v>
      </c>
      <c r="F156" s="35">
        <v>1110</v>
      </c>
      <c r="G156" s="54">
        <v>180</v>
      </c>
      <c r="H156" s="35">
        <v>173000</v>
      </c>
      <c r="I156" s="38" t="s">
        <v>16</v>
      </c>
      <c r="J156" s="35">
        <v>440</v>
      </c>
      <c r="K156" s="35">
        <v>111</v>
      </c>
      <c r="L156" s="35">
        <v>11289</v>
      </c>
      <c r="M156" s="55">
        <v>0.830867741223228</v>
      </c>
      <c r="N156" s="35" t="s">
        <v>30</v>
      </c>
    </row>
    <row r="157" ht="28.8" customHeight="1" spans="1:14">
      <c r="A157" s="35">
        <v>377</v>
      </c>
      <c r="B157" s="35">
        <v>10</v>
      </c>
      <c r="C157" s="35">
        <v>37.7</v>
      </c>
      <c r="D157" s="35">
        <v>1200</v>
      </c>
      <c r="E157" s="35">
        <v>3.18302387267904</v>
      </c>
      <c r="F157" s="35">
        <v>1110</v>
      </c>
      <c r="G157" s="54">
        <v>180</v>
      </c>
      <c r="H157" s="35">
        <v>173000</v>
      </c>
      <c r="I157" s="38" t="s">
        <v>16</v>
      </c>
      <c r="J157" s="35">
        <v>440</v>
      </c>
      <c r="K157" s="35">
        <v>125</v>
      </c>
      <c r="L157" s="35">
        <v>13765</v>
      </c>
      <c r="M157" s="55">
        <v>0.886577354115677</v>
      </c>
      <c r="N157" s="35" t="s">
        <v>30</v>
      </c>
    </row>
    <row r="158" ht="28.8" customHeight="1" spans="1:14">
      <c r="A158" s="35">
        <v>377</v>
      </c>
      <c r="B158" s="35">
        <v>10</v>
      </c>
      <c r="C158" s="35">
        <v>37.7</v>
      </c>
      <c r="D158" s="35">
        <v>1200</v>
      </c>
      <c r="E158" s="35">
        <v>3.18302387267904</v>
      </c>
      <c r="F158" s="35">
        <v>1110</v>
      </c>
      <c r="G158" s="54">
        <v>180</v>
      </c>
      <c r="H158" s="35">
        <v>173000</v>
      </c>
      <c r="I158" s="38" t="s">
        <v>16</v>
      </c>
      <c r="J158" s="35">
        <v>440</v>
      </c>
      <c r="K158" s="35">
        <v>131</v>
      </c>
      <c r="L158" s="35">
        <v>14876</v>
      </c>
      <c r="M158" s="55">
        <v>0.904041324825281</v>
      </c>
      <c r="N158" s="35" t="s">
        <v>30</v>
      </c>
    </row>
    <row r="159" ht="28.8" customHeight="1" spans="1:14">
      <c r="A159" s="35">
        <v>377</v>
      </c>
      <c r="B159" s="35">
        <v>10</v>
      </c>
      <c r="C159" s="35">
        <v>37.7</v>
      </c>
      <c r="D159" s="35">
        <v>1200</v>
      </c>
      <c r="E159" s="35">
        <v>3.18302387267904</v>
      </c>
      <c r="F159" s="35">
        <v>1050</v>
      </c>
      <c r="G159" s="54">
        <v>180</v>
      </c>
      <c r="H159" s="35">
        <v>100000</v>
      </c>
      <c r="I159" s="38" t="s">
        <v>16</v>
      </c>
      <c r="J159" s="35">
        <v>440</v>
      </c>
      <c r="K159" s="35">
        <v>85</v>
      </c>
      <c r="L159" s="35">
        <v>9417</v>
      </c>
      <c r="M159" s="55">
        <v>1.2188713435154</v>
      </c>
      <c r="N159" s="35" t="s">
        <v>30</v>
      </c>
    </row>
    <row r="160" ht="28.8" customHeight="1" spans="1:14">
      <c r="A160" s="35">
        <v>377</v>
      </c>
      <c r="B160" s="35">
        <v>10</v>
      </c>
      <c r="C160" s="35">
        <v>37.7</v>
      </c>
      <c r="D160" s="35">
        <v>1200</v>
      </c>
      <c r="E160" s="35">
        <v>3.18302387267904</v>
      </c>
      <c r="F160" s="35">
        <v>1050</v>
      </c>
      <c r="G160" s="54">
        <v>180</v>
      </c>
      <c r="H160" s="35">
        <v>100000</v>
      </c>
      <c r="I160" s="38" t="s">
        <v>16</v>
      </c>
      <c r="J160" s="35">
        <v>440</v>
      </c>
      <c r="K160" s="35">
        <v>111</v>
      </c>
      <c r="L160" s="35">
        <v>13368</v>
      </c>
      <c r="M160" s="55">
        <v>1.18416157321286</v>
      </c>
      <c r="N160" s="35" t="s">
        <v>30</v>
      </c>
    </row>
    <row r="161" ht="28.8" customHeight="1" spans="1:14">
      <c r="A161" s="35">
        <v>377</v>
      </c>
      <c r="B161" s="35">
        <v>10</v>
      </c>
      <c r="C161" s="35">
        <v>37.7</v>
      </c>
      <c r="D161" s="35">
        <v>1200</v>
      </c>
      <c r="E161" s="35">
        <v>3.18302387267904</v>
      </c>
      <c r="F161" s="35">
        <v>1050</v>
      </c>
      <c r="G161" s="54">
        <v>180</v>
      </c>
      <c r="H161" s="35">
        <v>100000</v>
      </c>
      <c r="I161" s="38" t="s">
        <v>16</v>
      </c>
      <c r="J161" s="35">
        <v>440</v>
      </c>
      <c r="K161" s="35">
        <v>125</v>
      </c>
      <c r="L161" s="35">
        <v>15976</v>
      </c>
      <c r="M161" s="55">
        <v>1.16062477297494</v>
      </c>
      <c r="N161" s="35" t="s">
        <v>30</v>
      </c>
    </row>
    <row r="162" ht="28.8" customHeight="1" spans="1:14">
      <c r="A162" s="35">
        <v>377</v>
      </c>
      <c r="B162" s="35">
        <v>10</v>
      </c>
      <c r="C162" s="35">
        <v>37.7</v>
      </c>
      <c r="D162" s="35">
        <v>1200</v>
      </c>
      <c r="E162" s="35">
        <v>3.18302387267904</v>
      </c>
      <c r="F162" s="35">
        <v>1050</v>
      </c>
      <c r="G162" s="54">
        <v>180</v>
      </c>
      <c r="H162" s="35">
        <v>100000</v>
      </c>
      <c r="I162" s="38" t="s">
        <v>16</v>
      </c>
      <c r="J162" s="35">
        <v>440</v>
      </c>
      <c r="K162" s="35">
        <v>131</v>
      </c>
      <c r="L162" s="35">
        <v>16865</v>
      </c>
      <c r="M162" s="55">
        <v>1.13370529712288</v>
      </c>
      <c r="N162" s="35" t="s">
        <v>30</v>
      </c>
    </row>
    <row r="163" spans="1:14">
      <c r="A163" s="64">
        <v>108</v>
      </c>
      <c r="B163" s="64">
        <v>4</v>
      </c>
      <c r="C163" s="64">
        <f t="shared" ref="C163:C171" si="1">A163/B163</f>
        <v>27</v>
      </c>
      <c r="D163" s="64">
        <v>324</v>
      </c>
      <c r="E163" s="64">
        <v>3</v>
      </c>
      <c r="F163" s="64">
        <v>20</v>
      </c>
      <c r="G163" s="65">
        <v>0</v>
      </c>
      <c r="H163" s="64">
        <v>0</v>
      </c>
      <c r="I163" s="66" t="s">
        <v>14</v>
      </c>
      <c r="J163" s="64">
        <v>392</v>
      </c>
      <c r="K163" s="64">
        <v>115</v>
      </c>
      <c r="L163" s="64">
        <v>1432</v>
      </c>
      <c r="M163" s="67">
        <v>1</v>
      </c>
      <c r="N163" s="68" t="s">
        <v>31</v>
      </c>
    </row>
    <row r="164" spans="1:14">
      <c r="A164" s="64">
        <v>108</v>
      </c>
      <c r="B164" s="64">
        <v>4</v>
      </c>
      <c r="C164" s="64">
        <f t="shared" si="1"/>
        <v>27</v>
      </c>
      <c r="D164" s="64">
        <v>324</v>
      </c>
      <c r="E164" s="64">
        <v>3</v>
      </c>
      <c r="F164" s="64">
        <v>20</v>
      </c>
      <c r="G164" s="65">
        <v>0</v>
      </c>
      <c r="H164" s="64">
        <v>0</v>
      </c>
      <c r="I164" s="66" t="s">
        <v>14</v>
      </c>
      <c r="J164" s="64">
        <v>392</v>
      </c>
      <c r="K164" s="64">
        <v>131</v>
      </c>
      <c r="L164" s="64">
        <v>1490</v>
      </c>
      <c r="M164" s="67">
        <v>1</v>
      </c>
      <c r="N164" s="68" t="s">
        <v>31</v>
      </c>
    </row>
    <row r="165" spans="1:14">
      <c r="A165" s="64">
        <v>108</v>
      </c>
      <c r="B165" s="64">
        <v>4</v>
      </c>
      <c r="C165" s="64">
        <f t="shared" si="1"/>
        <v>27</v>
      </c>
      <c r="D165" s="64">
        <v>324</v>
      </c>
      <c r="E165" s="64">
        <v>3</v>
      </c>
      <c r="F165" s="64">
        <v>20</v>
      </c>
      <c r="G165" s="65">
        <v>0</v>
      </c>
      <c r="H165" s="64">
        <v>0</v>
      </c>
      <c r="I165" s="66" t="s">
        <v>14</v>
      </c>
      <c r="J165" s="64">
        <v>392</v>
      </c>
      <c r="K165" s="64">
        <v>140</v>
      </c>
      <c r="L165" s="64">
        <v>1572</v>
      </c>
      <c r="M165" s="67">
        <v>1</v>
      </c>
      <c r="N165" s="68" t="s">
        <v>31</v>
      </c>
    </row>
    <row r="166" spans="1:14">
      <c r="A166" s="68">
        <v>108</v>
      </c>
      <c r="B166" s="68">
        <v>4</v>
      </c>
      <c r="C166" s="68">
        <f t="shared" si="1"/>
        <v>27</v>
      </c>
      <c r="D166" s="68">
        <v>324</v>
      </c>
      <c r="E166" s="68">
        <v>3</v>
      </c>
      <c r="F166" s="68">
        <v>307</v>
      </c>
      <c r="G166" s="69">
        <v>80</v>
      </c>
      <c r="H166" s="68">
        <v>23100</v>
      </c>
      <c r="I166" s="70" t="s">
        <v>16</v>
      </c>
      <c r="J166" s="68">
        <v>392</v>
      </c>
      <c r="K166" s="68">
        <v>115</v>
      </c>
      <c r="L166" s="68">
        <v>1617</v>
      </c>
      <c r="M166" s="71">
        <v>1.12918994413408</v>
      </c>
      <c r="N166" s="68" t="s">
        <v>31</v>
      </c>
    </row>
    <row r="167" spans="1:14">
      <c r="A167" s="68">
        <v>108</v>
      </c>
      <c r="B167" s="68">
        <v>4</v>
      </c>
      <c r="C167" s="68">
        <f t="shared" si="1"/>
        <v>27</v>
      </c>
      <c r="D167" s="68">
        <v>324</v>
      </c>
      <c r="E167" s="68">
        <v>3</v>
      </c>
      <c r="F167" s="68">
        <v>307</v>
      </c>
      <c r="G167" s="69">
        <v>80</v>
      </c>
      <c r="H167" s="68">
        <v>23100</v>
      </c>
      <c r="I167" s="70" t="s">
        <v>16</v>
      </c>
      <c r="J167" s="68">
        <v>392</v>
      </c>
      <c r="K167" s="68">
        <v>131</v>
      </c>
      <c r="L167" s="68">
        <v>1982</v>
      </c>
      <c r="M167" s="71">
        <v>1.33020134228188</v>
      </c>
      <c r="N167" s="68" t="s">
        <v>31</v>
      </c>
    </row>
    <row r="168" spans="1:14">
      <c r="A168" s="68">
        <v>108</v>
      </c>
      <c r="B168" s="68">
        <v>4</v>
      </c>
      <c r="C168" s="68">
        <f t="shared" si="1"/>
        <v>27</v>
      </c>
      <c r="D168" s="68">
        <v>324</v>
      </c>
      <c r="E168" s="68">
        <v>3</v>
      </c>
      <c r="F168" s="68">
        <v>307</v>
      </c>
      <c r="G168" s="69">
        <v>80</v>
      </c>
      <c r="H168" s="68">
        <v>23100</v>
      </c>
      <c r="I168" s="70" t="s">
        <v>16</v>
      </c>
      <c r="J168" s="68">
        <v>392</v>
      </c>
      <c r="K168" s="68">
        <v>140</v>
      </c>
      <c r="L168" s="68">
        <v>2053</v>
      </c>
      <c r="M168" s="71">
        <v>1.3059796437659</v>
      </c>
      <c r="N168" s="68" t="s">
        <v>31</v>
      </c>
    </row>
    <row r="169" spans="1:14">
      <c r="A169" s="68">
        <v>108</v>
      </c>
      <c r="B169" s="68">
        <v>4</v>
      </c>
      <c r="C169" s="68">
        <f t="shared" si="1"/>
        <v>27</v>
      </c>
      <c r="D169" s="68">
        <v>324</v>
      </c>
      <c r="E169" s="68">
        <v>3</v>
      </c>
      <c r="F169" s="68">
        <v>680</v>
      </c>
      <c r="G169" s="69">
        <v>85</v>
      </c>
      <c r="H169" s="68">
        <v>52700</v>
      </c>
      <c r="I169" s="70" t="s">
        <v>16</v>
      </c>
      <c r="J169" s="68">
        <v>392</v>
      </c>
      <c r="K169" s="68">
        <v>115</v>
      </c>
      <c r="L169" s="68">
        <v>1320</v>
      </c>
      <c r="M169" s="71">
        <v>0.921787709497207</v>
      </c>
      <c r="N169" s="68" t="s">
        <v>31</v>
      </c>
    </row>
    <row r="170" spans="1:14">
      <c r="A170" s="68">
        <v>108</v>
      </c>
      <c r="B170" s="68">
        <v>4</v>
      </c>
      <c r="C170" s="68">
        <f t="shared" si="1"/>
        <v>27</v>
      </c>
      <c r="D170" s="68">
        <v>324</v>
      </c>
      <c r="E170" s="68">
        <v>3</v>
      </c>
      <c r="F170" s="68">
        <v>680</v>
      </c>
      <c r="G170" s="69">
        <v>85</v>
      </c>
      <c r="H170" s="68">
        <v>52700</v>
      </c>
      <c r="I170" s="70" t="s">
        <v>16</v>
      </c>
      <c r="J170" s="68">
        <v>392</v>
      </c>
      <c r="K170" s="68">
        <v>131</v>
      </c>
      <c r="L170" s="68">
        <v>1352</v>
      </c>
      <c r="M170" s="71">
        <v>0.90738255033557</v>
      </c>
      <c r="N170" s="68" t="s">
        <v>31</v>
      </c>
    </row>
    <row r="171" spans="1:14">
      <c r="A171" s="68">
        <v>108</v>
      </c>
      <c r="B171" s="68">
        <v>4</v>
      </c>
      <c r="C171" s="68">
        <f t="shared" si="1"/>
        <v>27</v>
      </c>
      <c r="D171" s="68">
        <v>324</v>
      </c>
      <c r="E171" s="68">
        <v>3</v>
      </c>
      <c r="F171" s="68">
        <v>680</v>
      </c>
      <c r="G171" s="69">
        <v>85</v>
      </c>
      <c r="H171" s="68">
        <v>52700</v>
      </c>
      <c r="I171" s="70" t="s">
        <v>16</v>
      </c>
      <c r="J171" s="68">
        <v>392</v>
      </c>
      <c r="K171" s="68">
        <v>140</v>
      </c>
      <c r="L171" s="68">
        <v>1547</v>
      </c>
      <c r="M171" s="71">
        <v>0.984096692111959</v>
      </c>
      <c r="N171" s="68" t="s">
        <v>31</v>
      </c>
    </row>
    <row r="172" spans="1:14">
      <c r="A172" s="42">
        <v>100</v>
      </c>
      <c r="B172" s="42">
        <v>4</v>
      </c>
      <c r="C172" s="42">
        <f t="array" ref="C172:C177">A172:A177/B172:B177</f>
        <v>25</v>
      </c>
      <c r="D172" s="42">
        <v>600</v>
      </c>
      <c r="E172" s="42">
        <v>6</v>
      </c>
      <c r="F172" s="42">
        <v>20</v>
      </c>
      <c r="G172" s="41">
        <v>0</v>
      </c>
      <c r="H172" s="42">
        <v>0</v>
      </c>
      <c r="I172" s="43" t="s">
        <v>14</v>
      </c>
      <c r="J172" s="42">
        <v>288</v>
      </c>
      <c r="K172" s="42">
        <v>36.7</v>
      </c>
      <c r="L172" s="42">
        <v>834</v>
      </c>
      <c r="M172" s="72">
        <v>1</v>
      </c>
      <c r="N172" s="45" t="s">
        <v>32</v>
      </c>
    </row>
    <row r="173" spans="1:14">
      <c r="A173" s="42">
        <v>100</v>
      </c>
      <c r="B173" s="42">
        <v>5</v>
      </c>
      <c r="C173" s="42">
        <v>20</v>
      </c>
      <c r="D173" s="42">
        <v>600</v>
      </c>
      <c r="E173" s="42">
        <v>6</v>
      </c>
      <c r="F173" s="42">
        <v>20</v>
      </c>
      <c r="G173" s="41">
        <v>0</v>
      </c>
      <c r="H173" s="42">
        <v>0</v>
      </c>
      <c r="I173" s="43" t="s">
        <v>14</v>
      </c>
      <c r="J173" s="42">
        <v>288</v>
      </c>
      <c r="K173" s="42">
        <v>36.7</v>
      </c>
      <c r="L173" s="42">
        <v>836</v>
      </c>
      <c r="M173" s="72">
        <v>1</v>
      </c>
      <c r="N173" s="45" t="s">
        <v>32</v>
      </c>
    </row>
    <row r="174" spans="1:14">
      <c r="A174" s="42">
        <v>125</v>
      </c>
      <c r="B174" s="42">
        <v>4</v>
      </c>
      <c r="C174" s="42">
        <v>31.25</v>
      </c>
      <c r="D174" s="42">
        <v>600</v>
      </c>
      <c r="E174" s="42">
        <v>4.8</v>
      </c>
      <c r="F174" s="42">
        <v>20</v>
      </c>
      <c r="G174" s="41">
        <v>0</v>
      </c>
      <c r="H174" s="42">
        <v>0</v>
      </c>
      <c r="I174" s="43" t="s">
        <v>14</v>
      </c>
      <c r="J174" s="42">
        <v>380</v>
      </c>
      <c r="K174" s="42">
        <v>36.7</v>
      </c>
      <c r="L174" s="42">
        <v>1252</v>
      </c>
      <c r="M174" s="72">
        <v>1</v>
      </c>
      <c r="N174" s="45" t="s">
        <v>32</v>
      </c>
    </row>
    <row r="175" spans="1:14">
      <c r="A175" s="42">
        <v>125</v>
      </c>
      <c r="B175" s="42">
        <v>5</v>
      </c>
      <c r="C175" s="42">
        <v>25</v>
      </c>
      <c r="D175" s="42">
        <v>600</v>
      </c>
      <c r="E175" s="42">
        <v>4.8</v>
      </c>
      <c r="F175" s="42">
        <v>20</v>
      </c>
      <c r="G175" s="41">
        <v>0</v>
      </c>
      <c r="H175" s="42">
        <v>0</v>
      </c>
      <c r="I175" s="43" t="s">
        <v>14</v>
      </c>
      <c r="J175" s="42">
        <v>380</v>
      </c>
      <c r="K175" s="42">
        <v>36.7</v>
      </c>
      <c r="L175" s="42">
        <v>1263</v>
      </c>
      <c r="M175" s="72">
        <v>1</v>
      </c>
      <c r="N175" s="45" t="s">
        <v>32</v>
      </c>
    </row>
    <row r="176" spans="1:14">
      <c r="A176" s="42">
        <v>150</v>
      </c>
      <c r="B176" s="42">
        <v>4</v>
      </c>
      <c r="C176" s="42">
        <v>37.5</v>
      </c>
      <c r="D176" s="42">
        <v>600</v>
      </c>
      <c r="E176" s="42">
        <v>4</v>
      </c>
      <c r="F176" s="42">
        <v>20</v>
      </c>
      <c r="G176" s="41">
        <v>0</v>
      </c>
      <c r="H176" s="42">
        <v>0</v>
      </c>
      <c r="I176" s="43" t="s">
        <v>14</v>
      </c>
      <c r="J176" s="42">
        <v>440</v>
      </c>
      <c r="K176" s="42">
        <v>36.7</v>
      </c>
      <c r="L176" s="42">
        <v>1749</v>
      </c>
      <c r="M176" s="72">
        <v>1</v>
      </c>
      <c r="N176" s="45" t="s">
        <v>32</v>
      </c>
    </row>
    <row r="177" spans="1:14">
      <c r="A177" s="42">
        <v>150</v>
      </c>
      <c r="B177" s="42">
        <v>5</v>
      </c>
      <c r="C177" s="42">
        <v>30</v>
      </c>
      <c r="D177" s="42">
        <v>600</v>
      </c>
      <c r="E177" s="42">
        <v>4</v>
      </c>
      <c r="F177" s="42">
        <v>20</v>
      </c>
      <c r="G177" s="41">
        <v>0</v>
      </c>
      <c r="H177" s="42">
        <v>0</v>
      </c>
      <c r="I177" s="43" t="s">
        <v>14</v>
      </c>
      <c r="J177" s="42">
        <v>440</v>
      </c>
      <c r="K177" s="42">
        <v>36.7</v>
      </c>
      <c r="L177" s="42">
        <v>1768</v>
      </c>
      <c r="M177" s="72">
        <v>1</v>
      </c>
      <c r="N177" s="45" t="s">
        <v>32</v>
      </c>
    </row>
    <row r="178" ht="28.8" customHeight="1" spans="1:14">
      <c r="A178" s="45">
        <v>100</v>
      </c>
      <c r="B178" s="45">
        <v>4</v>
      </c>
      <c r="C178" s="45">
        <f t="array" ref="C178:C183">A178:A183/B178:B183</f>
        <v>25</v>
      </c>
      <c r="D178" s="45">
        <v>600</v>
      </c>
      <c r="E178" s="45">
        <v>6</v>
      </c>
      <c r="F178" s="45">
        <v>600</v>
      </c>
      <c r="G178" s="73">
        <v>120</v>
      </c>
      <c r="H178" s="45">
        <v>34000</v>
      </c>
      <c r="I178" s="48" t="s">
        <v>16</v>
      </c>
      <c r="J178" s="45">
        <v>288</v>
      </c>
      <c r="K178" s="45">
        <v>36.7</v>
      </c>
      <c r="L178" s="45">
        <v>791</v>
      </c>
      <c r="M178" s="74">
        <v>0.948441247002398</v>
      </c>
      <c r="N178" s="45" t="s">
        <v>32</v>
      </c>
    </row>
    <row r="179" ht="28.8" customHeight="1" spans="1:14">
      <c r="A179" s="45">
        <v>100</v>
      </c>
      <c r="B179" s="45">
        <v>5</v>
      </c>
      <c r="C179" s="45">
        <v>20</v>
      </c>
      <c r="D179" s="45">
        <v>600</v>
      </c>
      <c r="E179" s="45">
        <v>6</v>
      </c>
      <c r="F179" s="45">
        <v>600</v>
      </c>
      <c r="G179" s="73">
        <v>120</v>
      </c>
      <c r="H179" s="45">
        <v>34000</v>
      </c>
      <c r="I179" s="48" t="s">
        <v>16</v>
      </c>
      <c r="J179" s="45">
        <v>288</v>
      </c>
      <c r="K179" s="45">
        <v>36.7</v>
      </c>
      <c r="L179" s="45">
        <v>795</v>
      </c>
      <c r="M179" s="74">
        <v>0.950956937799043</v>
      </c>
      <c r="N179" s="45" t="s">
        <v>32</v>
      </c>
    </row>
    <row r="180" ht="28.8" customHeight="1" spans="1:14">
      <c r="A180" s="45">
        <v>125</v>
      </c>
      <c r="B180" s="45">
        <v>4</v>
      </c>
      <c r="C180" s="45">
        <v>31.25</v>
      </c>
      <c r="D180" s="45">
        <v>600</v>
      </c>
      <c r="E180" s="45">
        <v>4.8</v>
      </c>
      <c r="F180" s="45">
        <v>600</v>
      </c>
      <c r="G180" s="73">
        <v>120</v>
      </c>
      <c r="H180" s="45">
        <v>34000</v>
      </c>
      <c r="I180" s="48" t="s">
        <v>16</v>
      </c>
      <c r="J180" s="45">
        <v>380</v>
      </c>
      <c r="K180" s="45">
        <v>36.7</v>
      </c>
      <c r="L180" s="45">
        <v>1208</v>
      </c>
      <c r="M180" s="74">
        <v>0.964856230031949</v>
      </c>
      <c r="N180" s="45" t="s">
        <v>32</v>
      </c>
    </row>
    <row r="181" ht="28.8" customHeight="1" spans="1:14">
      <c r="A181" s="45">
        <v>125</v>
      </c>
      <c r="B181" s="45">
        <v>5</v>
      </c>
      <c r="C181" s="45">
        <v>25</v>
      </c>
      <c r="D181" s="45">
        <v>600</v>
      </c>
      <c r="E181" s="45">
        <v>4.8</v>
      </c>
      <c r="F181" s="45">
        <v>600</v>
      </c>
      <c r="G181" s="73">
        <v>120</v>
      </c>
      <c r="H181" s="45">
        <v>34000</v>
      </c>
      <c r="I181" s="48" t="s">
        <v>16</v>
      </c>
      <c r="J181" s="45">
        <v>380</v>
      </c>
      <c r="K181" s="45">
        <v>36.7</v>
      </c>
      <c r="L181" s="45">
        <v>1213</v>
      </c>
      <c r="M181" s="74">
        <v>0.960411718131433</v>
      </c>
      <c r="N181" s="45" t="s">
        <v>32</v>
      </c>
    </row>
    <row r="182" ht="28.8" customHeight="1" spans="1:14">
      <c r="A182" s="45">
        <v>150</v>
      </c>
      <c r="B182" s="45">
        <v>4</v>
      </c>
      <c r="C182" s="45">
        <v>37.5</v>
      </c>
      <c r="D182" s="45">
        <v>600</v>
      </c>
      <c r="E182" s="45">
        <v>4</v>
      </c>
      <c r="F182" s="45">
        <v>600</v>
      </c>
      <c r="G182" s="73">
        <v>120</v>
      </c>
      <c r="H182" s="45">
        <v>34000</v>
      </c>
      <c r="I182" s="48" t="s">
        <v>16</v>
      </c>
      <c r="J182" s="45">
        <v>440</v>
      </c>
      <c r="K182" s="45">
        <v>36.7</v>
      </c>
      <c r="L182" s="45">
        <v>1698</v>
      </c>
      <c r="M182" s="74">
        <v>0.970840480274443</v>
      </c>
      <c r="N182" s="45" t="s">
        <v>32</v>
      </c>
    </row>
    <row r="183" ht="28.8" customHeight="1" spans="1:14">
      <c r="A183" s="45">
        <v>150</v>
      </c>
      <c r="B183" s="45">
        <v>5</v>
      </c>
      <c r="C183" s="45">
        <v>30</v>
      </c>
      <c r="D183" s="45">
        <v>600</v>
      </c>
      <c r="E183" s="45">
        <v>4</v>
      </c>
      <c r="F183" s="45">
        <v>600</v>
      </c>
      <c r="G183" s="73">
        <v>120</v>
      </c>
      <c r="H183" s="45">
        <v>34000</v>
      </c>
      <c r="I183" s="48" t="s">
        <v>16</v>
      </c>
      <c r="J183" s="45">
        <v>440</v>
      </c>
      <c r="K183" s="45">
        <v>36.7</v>
      </c>
      <c r="L183" s="45">
        <v>1705</v>
      </c>
      <c r="M183" s="74">
        <v>0.964366515837104</v>
      </c>
      <c r="N183" s="45" t="s">
        <v>32</v>
      </c>
    </row>
    <row r="184" ht="28.8" customHeight="1" spans="1:14">
      <c r="A184" s="45">
        <v>100</v>
      </c>
      <c r="B184" s="45">
        <v>4</v>
      </c>
      <c r="C184" s="45">
        <f t="array" ref="C184:C189">A184:A189/B184:B189</f>
        <v>25</v>
      </c>
      <c r="D184" s="45">
        <v>600</v>
      </c>
      <c r="E184" s="45">
        <v>6</v>
      </c>
      <c r="F184" s="45">
        <v>800</v>
      </c>
      <c r="G184" s="73">
        <v>220</v>
      </c>
      <c r="H184" s="45">
        <v>108000</v>
      </c>
      <c r="I184" s="48" t="s">
        <v>16</v>
      </c>
      <c r="J184" s="45">
        <v>288</v>
      </c>
      <c r="K184" s="45">
        <v>36.7</v>
      </c>
      <c r="L184" s="45">
        <v>716</v>
      </c>
      <c r="M184" s="74">
        <v>0.858513189448441</v>
      </c>
      <c r="N184" s="45" t="s">
        <v>32</v>
      </c>
    </row>
    <row r="185" ht="28.8" customHeight="1" spans="1:14">
      <c r="A185" s="45">
        <v>100</v>
      </c>
      <c r="B185" s="45">
        <v>5</v>
      </c>
      <c r="C185" s="45">
        <v>20</v>
      </c>
      <c r="D185" s="45">
        <v>600</v>
      </c>
      <c r="E185" s="45">
        <v>6</v>
      </c>
      <c r="F185" s="45">
        <v>800</v>
      </c>
      <c r="G185" s="73">
        <v>220</v>
      </c>
      <c r="H185" s="45">
        <v>108000</v>
      </c>
      <c r="I185" s="48" t="s">
        <v>16</v>
      </c>
      <c r="J185" s="45">
        <v>288</v>
      </c>
      <c r="K185" s="45">
        <v>36.7</v>
      </c>
      <c r="L185" s="45">
        <v>722</v>
      </c>
      <c r="M185" s="74">
        <v>0.863636363636364</v>
      </c>
      <c r="N185" s="45" t="s">
        <v>32</v>
      </c>
    </row>
    <row r="186" ht="28.8" customHeight="1" spans="1:14">
      <c r="A186" s="45">
        <v>125</v>
      </c>
      <c r="B186" s="45">
        <v>4</v>
      </c>
      <c r="C186" s="45">
        <v>31.25</v>
      </c>
      <c r="D186" s="45">
        <v>600</v>
      </c>
      <c r="E186" s="45">
        <v>4.8</v>
      </c>
      <c r="F186" s="45">
        <v>800</v>
      </c>
      <c r="G186" s="73">
        <v>220</v>
      </c>
      <c r="H186" s="45">
        <v>108000</v>
      </c>
      <c r="I186" s="48" t="s">
        <v>16</v>
      </c>
      <c r="J186" s="45">
        <v>380</v>
      </c>
      <c r="K186" s="45">
        <v>36.7</v>
      </c>
      <c r="L186" s="45">
        <v>1175</v>
      </c>
      <c r="M186" s="74">
        <v>0.938498402555911</v>
      </c>
      <c r="N186" s="45" t="s">
        <v>32</v>
      </c>
    </row>
    <row r="187" ht="28.8" customHeight="1" spans="1:14">
      <c r="A187" s="45">
        <v>125</v>
      </c>
      <c r="B187" s="45">
        <v>5</v>
      </c>
      <c r="C187" s="45">
        <v>25</v>
      </c>
      <c r="D187" s="45">
        <v>600</v>
      </c>
      <c r="E187" s="45">
        <v>4.8</v>
      </c>
      <c r="F187" s="45">
        <v>800</v>
      </c>
      <c r="G187" s="73">
        <v>220</v>
      </c>
      <c r="H187" s="45">
        <v>108000</v>
      </c>
      <c r="I187" s="48" t="s">
        <v>16</v>
      </c>
      <c r="J187" s="45">
        <v>380</v>
      </c>
      <c r="K187" s="45">
        <v>36.7</v>
      </c>
      <c r="L187" s="45">
        <v>1179</v>
      </c>
      <c r="M187" s="74">
        <v>0.933491686460808</v>
      </c>
      <c r="N187" s="45" t="s">
        <v>32</v>
      </c>
    </row>
    <row r="188" ht="28.8" customHeight="1" spans="1:14">
      <c r="A188" s="45">
        <v>150</v>
      </c>
      <c r="B188" s="45">
        <v>4</v>
      </c>
      <c r="C188" s="45">
        <v>37.5</v>
      </c>
      <c r="D188" s="45">
        <v>600</v>
      </c>
      <c r="E188" s="45">
        <v>4</v>
      </c>
      <c r="F188" s="45">
        <v>800</v>
      </c>
      <c r="G188" s="73">
        <v>220</v>
      </c>
      <c r="H188" s="45">
        <v>108000</v>
      </c>
      <c r="I188" s="48" t="s">
        <v>16</v>
      </c>
      <c r="J188" s="45">
        <v>440</v>
      </c>
      <c r="K188" s="45">
        <v>36.7</v>
      </c>
      <c r="L188" s="45">
        <v>1629</v>
      </c>
      <c r="M188" s="74">
        <v>0.93138936535163</v>
      </c>
      <c r="N188" s="45" t="s">
        <v>32</v>
      </c>
    </row>
    <row r="189" ht="28.8" customHeight="1" spans="1:14">
      <c r="A189" s="45">
        <v>150</v>
      </c>
      <c r="B189" s="45">
        <v>5</v>
      </c>
      <c r="C189" s="45">
        <v>30</v>
      </c>
      <c r="D189" s="45">
        <v>600</v>
      </c>
      <c r="E189" s="45">
        <v>4</v>
      </c>
      <c r="F189" s="45">
        <v>800</v>
      </c>
      <c r="G189" s="73">
        <v>220</v>
      </c>
      <c r="H189" s="45">
        <v>108000</v>
      </c>
      <c r="I189" s="48" t="s">
        <v>16</v>
      </c>
      <c r="J189" s="45">
        <v>440</v>
      </c>
      <c r="K189" s="45">
        <v>36.7</v>
      </c>
      <c r="L189" s="45">
        <v>1637</v>
      </c>
      <c r="M189" s="74">
        <v>0.925904977375566</v>
      </c>
      <c r="N189" s="45" t="s">
        <v>32</v>
      </c>
    </row>
    <row r="190" spans="1:14">
      <c r="A190" s="45">
        <v>100</v>
      </c>
      <c r="B190" s="45">
        <v>4</v>
      </c>
      <c r="C190" s="45">
        <f t="array" ref="C190:C195">A190:A195/B190:B195</f>
        <v>25</v>
      </c>
      <c r="D190" s="45">
        <v>600</v>
      </c>
      <c r="E190" s="45">
        <v>6</v>
      </c>
      <c r="F190" s="45">
        <v>600</v>
      </c>
      <c r="G190" s="73">
        <v>120</v>
      </c>
      <c r="H190" s="45">
        <v>34000</v>
      </c>
      <c r="I190" s="48" t="s">
        <v>20</v>
      </c>
      <c r="J190" s="45">
        <v>288</v>
      </c>
      <c r="K190" s="45">
        <v>36.7</v>
      </c>
      <c r="L190" s="45">
        <v>749</v>
      </c>
      <c r="M190" s="74">
        <v>0.898081534772182</v>
      </c>
      <c r="N190" s="45" t="s">
        <v>32</v>
      </c>
    </row>
    <row r="191" spans="1:14">
      <c r="A191" s="45">
        <v>100</v>
      </c>
      <c r="B191" s="45">
        <v>5</v>
      </c>
      <c r="C191" s="45">
        <v>20</v>
      </c>
      <c r="D191" s="45">
        <v>600</v>
      </c>
      <c r="E191" s="45">
        <v>6</v>
      </c>
      <c r="F191" s="45">
        <v>600</v>
      </c>
      <c r="G191" s="73">
        <v>120</v>
      </c>
      <c r="H191" s="45">
        <v>34000</v>
      </c>
      <c r="I191" s="48" t="s">
        <v>20</v>
      </c>
      <c r="J191" s="45">
        <v>288</v>
      </c>
      <c r="K191" s="45">
        <v>36.7</v>
      </c>
      <c r="L191" s="45">
        <v>764</v>
      </c>
      <c r="M191" s="74">
        <v>0.913875598086124</v>
      </c>
      <c r="N191" s="45" t="s">
        <v>32</v>
      </c>
    </row>
    <row r="192" spans="1:14">
      <c r="A192" s="45">
        <v>125</v>
      </c>
      <c r="B192" s="45">
        <v>4</v>
      </c>
      <c r="C192" s="45">
        <v>31.25</v>
      </c>
      <c r="D192" s="45">
        <v>600</v>
      </c>
      <c r="E192" s="45">
        <v>4.8</v>
      </c>
      <c r="F192" s="45">
        <v>600</v>
      </c>
      <c r="G192" s="73">
        <v>120</v>
      </c>
      <c r="H192" s="45">
        <v>34000</v>
      </c>
      <c r="I192" s="48" t="s">
        <v>20</v>
      </c>
      <c r="J192" s="45">
        <v>380</v>
      </c>
      <c r="K192" s="45">
        <v>36.7</v>
      </c>
      <c r="L192" s="45">
        <v>1170</v>
      </c>
      <c r="M192" s="74">
        <v>0.934504792332268</v>
      </c>
      <c r="N192" s="45" t="s">
        <v>32</v>
      </c>
    </row>
    <row r="193" spans="1:219">
      <c r="A193" s="45">
        <v>125</v>
      </c>
      <c r="B193" s="45">
        <v>5</v>
      </c>
      <c r="C193" s="45">
        <v>25</v>
      </c>
      <c r="D193" s="45">
        <v>600</v>
      </c>
      <c r="E193" s="45">
        <v>4.8</v>
      </c>
      <c r="F193" s="45">
        <v>600</v>
      </c>
      <c r="G193" s="73">
        <v>120</v>
      </c>
      <c r="H193" s="45">
        <v>34000</v>
      </c>
      <c r="I193" s="48" t="s">
        <v>20</v>
      </c>
      <c r="J193" s="45">
        <v>380</v>
      </c>
      <c r="K193" s="45">
        <v>36.7</v>
      </c>
      <c r="L193" s="45">
        <v>1182</v>
      </c>
      <c r="M193" s="74">
        <v>0.935866983372922</v>
      </c>
      <c r="N193" s="45" t="s">
        <v>32</v>
      </c>
    </row>
    <row r="194" spans="1:219">
      <c r="A194" s="45">
        <v>150</v>
      </c>
      <c r="B194" s="45">
        <v>4</v>
      </c>
      <c r="C194" s="45">
        <v>37.5</v>
      </c>
      <c r="D194" s="45">
        <v>600</v>
      </c>
      <c r="E194" s="45">
        <v>4</v>
      </c>
      <c r="F194" s="45">
        <v>600</v>
      </c>
      <c r="G194" s="73">
        <v>120</v>
      </c>
      <c r="H194" s="45">
        <v>34000</v>
      </c>
      <c r="I194" s="48" t="s">
        <v>20</v>
      </c>
      <c r="J194" s="45">
        <v>440</v>
      </c>
      <c r="K194" s="45">
        <v>36.7</v>
      </c>
      <c r="L194" s="45">
        <v>1662</v>
      </c>
      <c r="M194" s="74">
        <v>0.950257289879931</v>
      </c>
      <c r="N194" s="45" t="s">
        <v>32</v>
      </c>
    </row>
    <row r="195" spans="1:219">
      <c r="A195" s="45">
        <v>150</v>
      </c>
      <c r="B195" s="45">
        <v>5</v>
      </c>
      <c r="C195" s="45">
        <v>30</v>
      </c>
      <c r="D195" s="45">
        <v>600</v>
      </c>
      <c r="E195" s="45">
        <v>4</v>
      </c>
      <c r="F195" s="45">
        <v>600</v>
      </c>
      <c r="G195" s="73">
        <v>120</v>
      </c>
      <c r="H195" s="45">
        <v>34000</v>
      </c>
      <c r="I195" s="48" t="s">
        <v>20</v>
      </c>
      <c r="J195" s="45">
        <v>440</v>
      </c>
      <c r="K195" s="45">
        <v>36.7</v>
      </c>
      <c r="L195" s="45">
        <v>1667</v>
      </c>
      <c r="M195" s="74">
        <v>0.942873303167421</v>
      </c>
      <c r="N195" s="45" t="s">
        <v>32</v>
      </c>
    </row>
    <row r="196" spans="1:219">
      <c r="A196" s="45">
        <v>100</v>
      </c>
      <c r="B196" s="45">
        <v>4</v>
      </c>
      <c r="C196" s="45">
        <f t="array" ref="C196:C201">A196:A201/B196:B201</f>
        <v>25</v>
      </c>
      <c r="D196" s="45">
        <v>600</v>
      </c>
      <c r="E196" s="45">
        <v>6</v>
      </c>
      <c r="F196" s="45">
        <v>800</v>
      </c>
      <c r="G196" s="73">
        <v>220</v>
      </c>
      <c r="H196" s="45">
        <v>108000</v>
      </c>
      <c r="I196" s="48" t="s">
        <v>20</v>
      </c>
      <c r="J196" s="45">
        <v>288</v>
      </c>
      <c r="K196" s="45">
        <v>36.7</v>
      </c>
      <c r="L196" s="45">
        <v>688</v>
      </c>
      <c r="M196" s="74">
        <v>0.824940047961631</v>
      </c>
      <c r="N196" s="45" t="s">
        <v>32</v>
      </c>
    </row>
    <row r="197" spans="1:219">
      <c r="A197" s="45">
        <v>100</v>
      </c>
      <c r="B197" s="45">
        <v>5</v>
      </c>
      <c r="C197" s="45">
        <v>20</v>
      </c>
      <c r="D197" s="45">
        <v>600</v>
      </c>
      <c r="E197" s="45">
        <v>6</v>
      </c>
      <c r="F197" s="45">
        <v>800</v>
      </c>
      <c r="G197" s="73">
        <v>220</v>
      </c>
      <c r="H197" s="45">
        <v>108000</v>
      </c>
      <c r="I197" s="48" t="s">
        <v>20</v>
      </c>
      <c r="J197" s="45">
        <v>288</v>
      </c>
      <c r="K197" s="45">
        <v>36.7</v>
      </c>
      <c r="L197" s="45">
        <v>691</v>
      </c>
      <c r="M197" s="74">
        <v>0.826555023923445</v>
      </c>
      <c r="N197" s="45" t="s">
        <v>32</v>
      </c>
    </row>
    <row r="198" spans="1:219">
      <c r="A198" s="45">
        <v>125</v>
      </c>
      <c r="B198" s="45">
        <v>4</v>
      </c>
      <c r="C198" s="45">
        <v>31.25</v>
      </c>
      <c r="D198" s="45">
        <v>600</v>
      </c>
      <c r="E198" s="45">
        <v>4.8</v>
      </c>
      <c r="F198" s="45">
        <v>800</v>
      </c>
      <c r="G198" s="73">
        <v>220</v>
      </c>
      <c r="H198" s="45">
        <v>108000</v>
      </c>
      <c r="I198" s="48" t="s">
        <v>20</v>
      </c>
      <c r="J198" s="45">
        <v>380</v>
      </c>
      <c r="K198" s="45">
        <v>36.7</v>
      </c>
      <c r="L198" s="45">
        <v>1148</v>
      </c>
      <c r="M198" s="74">
        <v>0.916932907348243</v>
      </c>
      <c r="N198" s="45" t="s">
        <v>32</v>
      </c>
    </row>
    <row r="199" spans="1:219">
      <c r="A199" s="45">
        <v>125</v>
      </c>
      <c r="B199" s="45">
        <v>5</v>
      </c>
      <c r="C199" s="45">
        <v>25</v>
      </c>
      <c r="D199" s="45">
        <v>600</v>
      </c>
      <c r="E199" s="45">
        <v>4.8</v>
      </c>
      <c r="F199" s="45">
        <v>800</v>
      </c>
      <c r="G199" s="73">
        <v>220</v>
      </c>
      <c r="H199" s="45">
        <v>108000</v>
      </c>
      <c r="I199" s="48" t="s">
        <v>20</v>
      </c>
      <c r="J199" s="45">
        <v>380</v>
      </c>
      <c r="K199" s="45">
        <v>36.7</v>
      </c>
      <c r="L199" s="45">
        <v>1156</v>
      </c>
      <c r="M199" s="74">
        <v>0.915281076801267</v>
      </c>
      <c r="N199" s="45" t="s">
        <v>32</v>
      </c>
    </row>
    <row r="200" spans="1:219">
      <c r="A200" s="45">
        <v>150</v>
      </c>
      <c r="B200" s="45">
        <v>4</v>
      </c>
      <c r="C200" s="45">
        <v>37.5</v>
      </c>
      <c r="D200" s="45">
        <v>600</v>
      </c>
      <c r="E200" s="45">
        <v>4</v>
      </c>
      <c r="F200" s="45">
        <v>800</v>
      </c>
      <c r="G200" s="73">
        <v>220</v>
      </c>
      <c r="H200" s="45">
        <v>108000</v>
      </c>
      <c r="I200" s="48" t="s">
        <v>20</v>
      </c>
      <c r="J200" s="45">
        <v>440</v>
      </c>
      <c r="K200" s="45">
        <v>36.7</v>
      </c>
      <c r="L200" s="45">
        <v>1605</v>
      </c>
      <c r="M200" s="74">
        <v>0.917667238421955</v>
      </c>
      <c r="N200" s="45" t="s">
        <v>32</v>
      </c>
    </row>
    <row r="201" spans="1:219">
      <c r="A201" s="45">
        <v>150</v>
      </c>
      <c r="B201" s="45">
        <v>5</v>
      </c>
      <c r="C201" s="45">
        <v>30</v>
      </c>
      <c r="D201" s="45">
        <v>600</v>
      </c>
      <c r="E201" s="45">
        <v>4</v>
      </c>
      <c r="F201" s="45">
        <v>800</v>
      </c>
      <c r="G201" s="73">
        <v>220</v>
      </c>
      <c r="H201" s="45">
        <v>108000</v>
      </c>
      <c r="I201" s="48" t="s">
        <v>20</v>
      </c>
      <c r="J201" s="45">
        <v>440</v>
      </c>
      <c r="K201" s="45">
        <v>36.7</v>
      </c>
      <c r="L201" s="45">
        <v>1613</v>
      </c>
      <c r="M201" s="74">
        <v>0.912330316742081</v>
      </c>
      <c r="N201" s="45" t="s">
        <v>32</v>
      </c>
    </row>
    <row r="202" s="2" customFormat="1" spans="1:219">
      <c r="A202" s="23">
        <v>100</v>
      </c>
      <c r="B202" s="23">
        <v>3</v>
      </c>
      <c r="C202" s="23">
        <f t="array" ref="C202:C231">A202:A231/B202:B231</f>
        <v>33.3333333333333</v>
      </c>
      <c r="D202" s="23">
        <v>600</v>
      </c>
      <c r="E202" s="23">
        <v>6</v>
      </c>
      <c r="F202" s="23">
        <v>20</v>
      </c>
      <c r="G202" s="22">
        <v>0</v>
      </c>
      <c r="H202" s="23">
        <v>0</v>
      </c>
      <c r="I202" s="24" t="s">
        <v>14</v>
      </c>
      <c r="J202" s="23">
        <v>285</v>
      </c>
      <c r="K202" s="23">
        <v>36.7</v>
      </c>
      <c r="L202" s="23">
        <v>825</v>
      </c>
      <c r="M202" s="75">
        <v>1</v>
      </c>
      <c r="N202" s="8" t="s">
        <v>33</v>
      </c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6"/>
      <c r="BU202" s="76"/>
      <c r="BV202" s="76"/>
      <c r="BW202" s="76"/>
      <c r="BX202" s="76"/>
      <c r="BY202" s="76"/>
      <c r="BZ202" s="76"/>
      <c r="CA202" s="76"/>
      <c r="CB202" s="76"/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/>
      <c r="DE202" s="76"/>
      <c r="DF202" s="76"/>
      <c r="DG202" s="76"/>
      <c r="DH202" s="76"/>
      <c r="DI202" s="76"/>
      <c r="DJ202" s="76"/>
      <c r="DK202" s="76"/>
      <c r="DL202" s="76"/>
      <c r="DM202" s="76"/>
      <c r="DN202" s="76"/>
      <c r="DO202" s="76"/>
      <c r="DP202" s="76"/>
      <c r="DQ202" s="76"/>
      <c r="DR202" s="76"/>
      <c r="DS202" s="76"/>
      <c r="DT202" s="76"/>
      <c r="DU202" s="76"/>
      <c r="DV202" s="76"/>
      <c r="DW202" s="76"/>
      <c r="DX202" s="76"/>
      <c r="DY202" s="76"/>
      <c r="DZ202" s="76"/>
      <c r="EA202" s="76"/>
      <c r="EB202" s="76"/>
      <c r="EC202" s="76"/>
      <c r="ED202" s="76"/>
      <c r="EE202" s="76"/>
      <c r="EF202" s="76"/>
      <c r="EG202" s="76"/>
      <c r="EH202" s="76"/>
      <c r="EI202" s="76"/>
      <c r="EJ202" s="76"/>
      <c r="EK202" s="76"/>
      <c r="EL202" s="76"/>
      <c r="EM202" s="76"/>
      <c r="EN202" s="76"/>
      <c r="EO202" s="76"/>
      <c r="EP202" s="76"/>
      <c r="EQ202" s="76"/>
      <c r="ER202" s="76"/>
      <c r="ES202" s="76"/>
      <c r="ET202" s="76"/>
      <c r="EU202" s="76"/>
      <c r="EV202" s="76"/>
      <c r="EW202" s="76"/>
      <c r="EX202" s="76"/>
      <c r="EY202" s="76"/>
      <c r="EZ202" s="76"/>
      <c r="FA202" s="76"/>
      <c r="FB202" s="76"/>
      <c r="FC202" s="76"/>
      <c r="FD202" s="76"/>
      <c r="FE202" s="76"/>
      <c r="FF202" s="76"/>
      <c r="FG202" s="76"/>
      <c r="FH202" s="76"/>
      <c r="FI202" s="76"/>
      <c r="FJ202" s="76"/>
      <c r="FK202" s="76"/>
      <c r="FL202" s="76"/>
      <c r="FM202" s="76"/>
      <c r="FN202" s="76"/>
      <c r="FO202" s="76"/>
      <c r="FP202" s="76"/>
      <c r="FQ202" s="76"/>
      <c r="FR202" s="76"/>
      <c r="FS202" s="76"/>
      <c r="FT202" s="76"/>
      <c r="FU202" s="76"/>
      <c r="FV202" s="76"/>
      <c r="FW202" s="76"/>
      <c r="FX202" s="76"/>
      <c r="FY202" s="76"/>
      <c r="FZ202" s="76"/>
      <c r="GA202" s="76"/>
      <c r="GB202" s="76"/>
      <c r="GC202" s="76"/>
      <c r="GD202" s="76"/>
      <c r="GE202" s="76"/>
      <c r="GF202" s="76"/>
      <c r="GG202" s="76"/>
      <c r="GH202" s="76"/>
      <c r="GI202" s="76"/>
      <c r="GJ202" s="76"/>
      <c r="GK202" s="76"/>
      <c r="GL202" s="76"/>
      <c r="GM202" s="76"/>
      <c r="GN202" s="76"/>
      <c r="GO202" s="76"/>
      <c r="GP202" s="76"/>
      <c r="GQ202" s="76"/>
      <c r="GR202" s="76"/>
      <c r="GS202" s="76"/>
      <c r="GT202" s="76"/>
      <c r="GU202" s="76"/>
      <c r="GV202" s="76"/>
      <c r="GW202" s="76"/>
      <c r="GX202" s="76"/>
      <c r="GY202" s="76"/>
      <c r="GZ202" s="76"/>
      <c r="HA202" s="76"/>
      <c r="HB202" s="76"/>
      <c r="HC202" s="76"/>
      <c r="HD202" s="76"/>
      <c r="HE202" s="76"/>
      <c r="HF202" s="76"/>
      <c r="HG202" s="76"/>
      <c r="HH202" s="76"/>
      <c r="HI202" s="76"/>
      <c r="HJ202" s="76"/>
      <c r="HK202" s="76"/>
    </row>
    <row r="203" s="2" customFormat="1" spans="1:219">
      <c r="A203" s="23">
        <v>100</v>
      </c>
      <c r="B203" s="23">
        <v>6</v>
      </c>
      <c r="C203" s="23">
        <v>16.6666666666667</v>
      </c>
      <c r="D203" s="23">
        <v>600</v>
      </c>
      <c r="E203" s="23">
        <v>6</v>
      </c>
      <c r="F203" s="23">
        <v>20</v>
      </c>
      <c r="G203" s="22">
        <v>0</v>
      </c>
      <c r="H203" s="23">
        <v>0</v>
      </c>
      <c r="I203" s="24" t="s">
        <v>14</v>
      </c>
      <c r="J203" s="23">
        <v>285</v>
      </c>
      <c r="K203" s="23">
        <v>36.7</v>
      </c>
      <c r="L203" s="23">
        <v>890</v>
      </c>
      <c r="M203" s="75">
        <v>1</v>
      </c>
      <c r="N203" s="8" t="s">
        <v>33</v>
      </c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  <c r="BT203" s="76"/>
      <c r="BU203" s="76"/>
      <c r="BV203" s="76"/>
      <c r="BW203" s="76"/>
      <c r="BX203" s="76"/>
      <c r="BY203" s="76"/>
      <c r="BZ203" s="76"/>
      <c r="CA203" s="76"/>
      <c r="CB203" s="76"/>
      <c r="CC203" s="76"/>
      <c r="CD203" s="76"/>
      <c r="CE203" s="76"/>
      <c r="CF203" s="76"/>
      <c r="CG203" s="76"/>
      <c r="CH203" s="76"/>
      <c r="CI203" s="76"/>
      <c r="CJ203" s="76"/>
      <c r="CK203" s="76"/>
      <c r="CL203" s="76"/>
      <c r="CM203" s="76"/>
      <c r="CN203" s="76"/>
      <c r="CO203" s="76"/>
      <c r="CP203" s="76"/>
      <c r="CQ203" s="76"/>
      <c r="CR203" s="76"/>
      <c r="CS203" s="76"/>
      <c r="CT203" s="76"/>
      <c r="CU203" s="76"/>
      <c r="CV203" s="76"/>
      <c r="CW203" s="76"/>
      <c r="CX203" s="76"/>
      <c r="CY203" s="76"/>
      <c r="CZ203" s="76"/>
      <c r="DA203" s="76"/>
      <c r="DB203" s="76"/>
      <c r="DC203" s="76"/>
      <c r="DD203" s="76"/>
      <c r="DE203" s="76"/>
      <c r="DF203" s="76"/>
      <c r="DG203" s="76"/>
      <c r="DH203" s="76"/>
      <c r="DI203" s="76"/>
      <c r="DJ203" s="76"/>
      <c r="DK203" s="76"/>
      <c r="DL203" s="76"/>
      <c r="DM203" s="76"/>
      <c r="DN203" s="76"/>
      <c r="DO203" s="76"/>
      <c r="DP203" s="76"/>
      <c r="DQ203" s="76"/>
      <c r="DR203" s="76"/>
      <c r="DS203" s="76"/>
      <c r="DT203" s="76"/>
      <c r="DU203" s="76"/>
      <c r="DV203" s="76"/>
      <c r="DW203" s="76"/>
      <c r="DX203" s="76"/>
      <c r="DY203" s="76"/>
      <c r="DZ203" s="76"/>
      <c r="EA203" s="76"/>
      <c r="EB203" s="76"/>
      <c r="EC203" s="76"/>
      <c r="ED203" s="76"/>
      <c r="EE203" s="76"/>
      <c r="EF203" s="76"/>
      <c r="EG203" s="76"/>
      <c r="EH203" s="76"/>
      <c r="EI203" s="76"/>
      <c r="EJ203" s="76"/>
      <c r="EK203" s="76"/>
      <c r="EL203" s="76"/>
      <c r="EM203" s="76"/>
      <c r="EN203" s="76"/>
      <c r="EO203" s="76"/>
      <c r="EP203" s="76"/>
      <c r="EQ203" s="76"/>
      <c r="ER203" s="76"/>
      <c r="ES203" s="76"/>
      <c r="ET203" s="76"/>
      <c r="EU203" s="76"/>
      <c r="EV203" s="76"/>
      <c r="EW203" s="76"/>
      <c r="EX203" s="76"/>
      <c r="EY203" s="76"/>
      <c r="EZ203" s="76"/>
      <c r="FA203" s="76"/>
      <c r="FB203" s="76"/>
      <c r="FC203" s="76"/>
      <c r="FD203" s="76"/>
      <c r="FE203" s="76"/>
      <c r="FF203" s="76"/>
      <c r="FG203" s="76"/>
      <c r="FH203" s="76"/>
      <c r="FI203" s="76"/>
      <c r="FJ203" s="76"/>
      <c r="FK203" s="76"/>
      <c r="FL203" s="76"/>
      <c r="FM203" s="76"/>
      <c r="FN203" s="76"/>
      <c r="FO203" s="76"/>
      <c r="FP203" s="76"/>
      <c r="FQ203" s="76"/>
      <c r="FR203" s="76"/>
      <c r="FS203" s="76"/>
      <c r="FT203" s="76"/>
      <c r="FU203" s="76"/>
      <c r="FV203" s="76"/>
      <c r="FW203" s="76"/>
      <c r="FX203" s="76"/>
      <c r="FY203" s="76"/>
      <c r="FZ203" s="76"/>
      <c r="GA203" s="76"/>
      <c r="GB203" s="76"/>
      <c r="GC203" s="76"/>
      <c r="GD203" s="76"/>
      <c r="GE203" s="76"/>
      <c r="GF203" s="76"/>
      <c r="GG203" s="76"/>
      <c r="GH203" s="76"/>
      <c r="GI203" s="76"/>
      <c r="GJ203" s="76"/>
      <c r="GK203" s="76"/>
      <c r="GL203" s="76"/>
      <c r="GM203" s="76"/>
      <c r="GN203" s="76"/>
      <c r="GO203" s="76"/>
      <c r="GP203" s="76"/>
      <c r="GQ203" s="76"/>
      <c r="GR203" s="76"/>
      <c r="GS203" s="76"/>
      <c r="GT203" s="76"/>
      <c r="GU203" s="76"/>
      <c r="GV203" s="76"/>
      <c r="GW203" s="76"/>
      <c r="GX203" s="76"/>
      <c r="GY203" s="76"/>
      <c r="GZ203" s="76"/>
      <c r="HA203" s="76"/>
      <c r="HB203" s="76"/>
      <c r="HC203" s="76"/>
      <c r="HD203" s="76"/>
      <c r="HE203" s="76"/>
      <c r="HF203" s="76"/>
      <c r="HG203" s="76"/>
      <c r="HH203" s="76"/>
      <c r="HI203" s="76"/>
      <c r="HJ203" s="76"/>
      <c r="HK203" s="76"/>
    </row>
    <row r="204" s="2" customFormat="1" spans="1:219">
      <c r="A204" s="23">
        <v>140</v>
      </c>
      <c r="B204" s="23">
        <v>3</v>
      </c>
      <c r="C204" s="23">
        <v>46.6666666666667</v>
      </c>
      <c r="D204" s="23">
        <v>600</v>
      </c>
      <c r="E204" s="23">
        <v>4.28571428571429</v>
      </c>
      <c r="F204" s="23">
        <v>20</v>
      </c>
      <c r="G204" s="22">
        <v>0</v>
      </c>
      <c r="H204" s="23">
        <v>0</v>
      </c>
      <c r="I204" s="24" t="s">
        <v>14</v>
      </c>
      <c r="J204" s="23">
        <v>300</v>
      </c>
      <c r="K204" s="23">
        <v>36.7</v>
      </c>
      <c r="L204" s="23">
        <v>1322</v>
      </c>
      <c r="M204" s="75">
        <v>1</v>
      </c>
      <c r="N204" s="8" t="s">
        <v>33</v>
      </c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6"/>
      <c r="BQ204" s="76"/>
      <c r="BR204" s="76"/>
      <c r="BS204" s="76"/>
      <c r="BT204" s="76"/>
      <c r="BU204" s="76"/>
      <c r="BV204" s="76"/>
      <c r="BW204" s="76"/>
      <c r="BX204" s="76"/>
      <c r="BY204" s="76"/>
      <c r="BZ204" s="76"/>
      <c r="CA204" s="76"/>
      <c r="CB204" s="76"/>
      <c r="CC204" s="76"/>
      <c r="CD204" s="76"/>
      <c r="CE204" s="76"/>
      <c r="CF204" s="76"/>
      <c r="CG204" s="76"/>
      <c r="CH204" s="76"/>
      <c r="CI204" s="76"/>
      <c r="CJ204" s="76"/>
      <c r="CK204" s="76"/>
      <c r="CL204" s="76"/>
      <c r="CM204" s="76"/>
      <c r="CN204" s="76"/>
      <c r="CO204" s="76"/>
      <c r="CP204" s="76"/>
      <c r="CQ204" s="76"/>
      <c r="CR204" s="76"/>
      <c r="CS204" s="76"/>
      <c r="CT204" s="76"/>
      <c r="CU204" s="76"/>
      <c r="CV204" s="76"/>
      <c r="CW204" s="76"/>
      <c r="CX204" s="76"/>
      <c r="CY204" s="76"/>
      <c r="CZ204" s="76"/>
      <c r="DA204" s="76"/>
      <c r="DB204" s="76"/>
      <c r="DC204" s="76"/>
      <c r="DD204" s="76"/>
      <c r="DE204" s="76"/>
      <c r="DF204" s="76"/>
      <c r="DG204" s="76"/>
      <c r="DH204" s="76"/>
      <c r="DI204" s="76"/>
      <c r="DJ204" s="76"/>
      <c r="DK204" s="76"/>
      <c r="DL204" s="76"/>
      <c r="DM204" s="76"/>
      <c r="DN204" s="76"/>
      <c r="DO204" s="76"/>
      <c r="DP204" s="76"/>
      <c r="DQ204" s="76"/>
      <c r="DR204" s="76"/>
      <c r="DS204" s="76"/>
      <c r="DT204" s="76"/>
      <c r="DU204" s="76"/>
      <c r="DV204" s="76"/>
      <c r="DW204" s="76"/>
      <c r="DX204" s="76"/>
      <c r="DY204" s="76"/>
      <c r="DZ204" s="76"/>
      <c r="EA204" s="76"/>
      <c r="EB204" s="76"/>
      <c r="EC204" s="76"/>
      <c r="ED204" s="76"/>
      <c r="EE204" s="76"/>
      <c r="EF204" s="76"/>
      <c r="EG204" s="76"/>
      <c r="EH204" s="76"/>
      <c r="EI204" s="76"/>
      <c r="EJ204" s="76"/>
      <c r="EK204" s="76"/>
      <c r="EL204" s="76"/>
      <c r="EM204" s="76"/>
      <c r="EN204" s="76"/>
      <c r="EO204" s="76"/>
      <c r="EP204" s="76"/>
      <c r="EQ204" s="76"/>
      <c r="ER204" s="76"/>
      <c r="ES204" s="76"/>
      <c r="ET204" s="76"/>
      <c r="EU204" s="76"/>
      <c r="EV204" s="76"/>
      <c r="EW204" s="76"/>
      <c r="EX204" s="76"/>
      <c r="EY204" s="76"/>
      <c r="EZ204" s="76"/>
      <c r="FA204" s="76"/>
      <c r="FB204" s="76"/>
      <c r="FC204" s="76"/>
      <c r="FD204" s="76"/>
      <c r="FE204" s="76"/>
      <c r="FF204" s="76"/>
      <c r="FG204" s="76"/>
      <c r="FH204" s="76"/>
      <c r="FI204" s="76"/>
      <c r="FJ204" s="76"/>
      <c r="FK204" s="76"/>
      <c r="FL204" s="76"/>
      <c r="FM204" s="76"/>
      <c r="FN204" s="76"/>
      <c r="FO204" s="76"/>
      <c r="FP204" s="76"/>
      <c r="FQ204" s="76"/>
      <c r="FR204" s="76"/>
      <c r="FS204" s="76"/>
      <c r="FT204" s="76"/>
      <c r="FU204" s="76"/>
      <c r="FV204" s="76"/>
      <c r="FW204" s="76"/>
      <c r="FX204" s="76"/>
      <c r="FY204" s="76"/>
      <c r="FZ204" s="76"/>
      <c r="GA204" s="76"/>
      <c r="GB204" s="76"/>
      <c r="GC204" s="76"/>
      <c r="GD204" s="76"/>
      <c r="GE204" s="76"/>
      <c r="GF204" s="76"/>
      <c r="GG204" s="76"/>
      <c r="GH204" s="76"/>
      <c r="GI204" s="76"/>
      <c r="GJ204" s="76"/>
      <c r="GK204" s="76"/>
      <c r="GL204" s="76"/>
      <c r="GM204" s="76"/>
      <c r="GN204" s="76"/>
      <c r="GO204" s="76"/>
      <c r="GP204" s="76"/>
      <c r="GQ204" s="76"/>
      <c r="GR204" s="76"/>
      <c r="GS204" s="76"/>
      <c r="GT204" s="76"/>
      <c r="GU204" s="76"/>
      <c r="GV204" s="76"/>
      <c r="GW204" s="76"/>
      <c r="GX204" s="76"/>
      <c r="GY204" s="76"/>
      <c r="GZ204" s="76"/>
      <c r="HA204" s="76"/>
      <c r="HB204" s="76"/>
      <c r="HC204" s="76"/>
      <c r="HD204" s="76"/>
      <c r="HE204" s="76"/>
      <c r="HF204" s="76"/>
      <c r="HG204" s="76"/>
      <c r="HH204" s="76"/>
      <c r="HI204" s="76"/>
      <c r="HJ204" s="76"/>
      <c r="HK204" s="76"/>
    </row>
    <row r="205" s="2" customFormat="1" spans="1:219">
      <c r="A205" s="23">
        <v>140</v>
      </c>
      <c r="B205" s="23">
        <v>6</v>
      </c>
      <c r="C205" s="23">
        <v>23.3333333333333</v>
      </c>
      <c r="D205" s="23">
        <v>600</v>
      </c>
      <c r="E205" s="23">
        <v>4.28571428571429</v>
      </c>
      <c r="F205" s="23">
        <v>20</v>
      </c>
      <c r="G205" s="22">
        <v>0</v>
      </c>
      <c r="H205" s="23">
        <v>0</v>
      </c>
      <c r="I205" s="24" t="s">
        <v>14</v>
      </c>
      <c r="J205" s="23">
        <v>300</v>
      </c>
      <c r="K205" s="23">
        <v>36.7</v>
      </c>
      <c r="L205" s="23">
        <v>1390</v>
      </c>
      <c r="M205" s="75">
        <v>1</v>
      </c>
      <c r="N205" s="8" t="s">
        <v>33</v>
      </c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  <c r="BP205" s="76"/>
      <c r="BQ205" s="76"/>
      <c r="BR205" s="76"/>
      <c r="BS205" s="76"/>
      <c r="BT205" s="76"/>
      <c r="BU205" s="76"/>
      <c r="BV205" s="76"/>
      <c r="BW205" s="76"/>
      <c r="BX205" s="76"/>
      <c r="BY205" s="76"/>
      <c r="BZ205" s="76"/>
      <c r="CA205" s="76"/>
      <c r="CB205" s="76"/>
      <c r="CC205" s="76"/>
      <c r="CD205" s="76"/>
      <c r="CE205" s="76"/>
      <c r="CF205" s="76"/>
      <c r="CG205" s="76"/>
      <c r="CH205" s="76"/>
      <c r="CI205" s="76"/>
      <c r="CJ205" s="76"/>
      <c r="CK205" s="76"/>
      <c r="CL205" s="76"/>
      <c r="CM205" s="76"/>
      <c r="CN205" s="76"/>
      <c r="CO205" s="76"/>
      <c r="CP205" s="76"/>
      <c r="CQ205" s="76"/>
      <c r="CR205" s="76"/>
      <c r="CS205" s="76"/>
      <c r="CT205" s="76"/>
      <c r="CU205" s="76"/>
      <c r="CV205" s="76"/>
      <c r="CW205" s="76"/>
      <c r="CX205" s="76"/>
      <c r="CY205" s="76"/>
      <c r="CZ205" s="76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6"/>
      <c r="DL205" s="76"/>
      <c r="DM205" s="76"/>
      <c r="DN205" s="76"/>
      <c r="DO205" s="76"/>
      <c r="DP205" s="76"/>
      <c r="DQ205" s="76"/>
      <c r="DR205" s="76"/>
      <c r="DS205" s="76"/>
      <c r="DT205" s="76"/>
      <c r="DU205" s="76"/>
      <c r="DV205" s="76"/>
      <c r="DW205" s="76"/>
      <c r="DX205" s="76"/>
      <c r="DY205" s="76"/>
      <c r="DZ205" s="76"/>
      <c r="EA205" s="76"/>
      <c r="EB205" s="76"/>
      <c r="EC205" s="76"/>
      <c r="ED205" s="76"/>
      <c r="EE205" s="76"/>
      <c r="EF205" s="76"/>
      <c r="EG205" s="76"/>
      <c r="EH205" s="76"/>
      <c r="EI205" s="76"/>
      <c r="EJ205" s="76"/>
      <c r="EK205" s="76"/>
      <c r="EL205" s="76"/>
      <c r="EM205" s="76"/>
      <c r="EN205" s="76"/>
      <c r="EO205" s="76"/>
      <c r="EP205" s="76"/>
      <c r="EQ205" s="76"/>
      <c r="ER205" s="76"/>
      <c r="ES205" s="76"/>
      <c r="ET205" s="76"/>
      <c r="EU205" s="76"/>
      <c r="EV205" s="76"/>
      <c r="EW205" s="76"/>
      <c r="EX205" s="76"/>
      <c r="EY205" s="76"/>
      <c r="EZ205" s="76"/>
      <c r="FA205" s="76"/>
      <c r="FB205" s="76"/>
      <c r="FC205" s="76"/>
      <c r="FD205" s="76"/>
      <c r="FE205" s="76"/>
      <c r="FF205" s="76"/>
      <c r="FG205" s="76"/>
      <c r="FH205" s="76"/>
      <c r="FI205" s="76"/>
      <c r="FJ205" s="76"/>
      <c r="FK205" s="76"/>
      <c r="FL205" s="76"/>
      <c r="FM205" s="76"/>
      <c r="FN205" s="76"/>
      <c r="FO205" s="76"/>
      <c r="FP205" s="76"/>
      <c r="FQ205" s="76"/>
      <c r="FR205" s="76"/>
      <c r="FS205" s="76"/>
      <c r="FT205" s="76"/>
      <c r="FU205" s="76"/>
      <c r="FV205" s="76"/>
      <c r="FW205" s="76"/>
      <c r="FX205" s="76"/>
      <c r="FY205" s="76"/>
      <c r="FZ205" s="76"/>
      <c r="GA205" s="76"/>
      <c r="GB205" s="76"/>
      <c r="GC205" s="76"/>
      <c r="GD205" s="76"/>
      <c r="GE205" s="76"/>
      <c r="GF205" s="76"/>
      <c r="GG205" s="76"/>
      <c r="GH205" s="76"/>
      <c r="GI205" s="76"/>
      <c r="GJ205" s="76"/>
      <c r="GK205" s="76"/>
      <c r="GL205" s="76"/>
      <c r="GM205" s="76"/>
      <c r="GN205" s="76"/>
      <c r="GO205" s="76"/>
      <c r="GP205" s="76"/>
      <c r="GQ205" s="76"/>
      <c r="GR205" s="76"/>
      <c r="GS205" s="76"/>
      <c r="GT205" s="76"/>
      <c r="GU205" s="76"/>
      <c r="GV205" s="76"/>
      <c r="GW205" s="76"/>
      <c r="GX205" s="76"/>
      <c r="GY205" s="76"/>
      <c r="GZ205" s="76"/>
      <c r="HA205" s="76"/>
      <c r="HB205" s="76"/>
      <c r="HC205" s="76"/>
      <c r="HD205" s="76"/>
      <c r="HE205" s="76"/>
      <c r="HF205" s="76"/>
      <c r="HG205" s="76"/>
      <c r="HH205" s="76"/>
      <c r="HI205" s="76"/>
      <c r="HJ205" s="76"/>
      <c r="HK205" s="76"/>
    </row>
    <row r="206" s="2" customFormat="1" spans="1:219">
      <c r="A206" s="23">
        <v>180</v>
      </c>
      <c r="B206" s="23">
        <v>3</v>
      </c>
      <c r="C206" s="23">
        <v>60</v>
      </c>
      <c r="D206" s="23">
        <v>600</v>
      </c>
      <c r="E206" s="23">
        <v>3.33333333333333</v>
      </c>
      <c r="F206" s="23">
        <v>20</v>
      </c>
      <c r="G206" s="22">
        <v>0</v>
      </c>
      <c r="H206" s="23">
        <v>0</v>
      </c>
      <c r="I206" s="24" t="s">
        <v>14</v>
      </c>
      <c r="J206" s="23">
        <v>320</v>
      </c>
      <c r="K206" s="23">
        <v>36.7</v>
      </c>
      <c r="L206" s="23">
        <v>1852</v>
      </c>
      <c r="M206" s="75">
        <v>1</v>
      </c>
      <c r="N206" s="8" t="s">
        <v>33</v>
      </c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6"/>
      <c r="BQ206" s="76"/>
      <c r="BR206" s="76"/>
      <c r="BS206" s="76"/>
      <c r="BT206" s="76"/>
      <c r="BU206" s="76"/>
      <c r="BV206" s="76"/>
      <c r="BW206" s="76"/>
      <c r="BX206" s="76"/>
      <c r="BY206" s="76"/>
      <c r="BZ206" s="76"/>
      <c r="CA206" s="76"/>
      <c r="CB206" s="76"/>
      <c r="CC206" s="76"/>
      <c r="CD206" s="76"/>
      <c r="CE206" s="76"/>
      <c r="CF206" s="76"/>
      <c r="CG206" s="76"/>
      <c r="CH206" s="76"/>
      <c r="CI206" s="76"/>
      <c r="CJ206" s="76"/>
      <c r="CK206" s="76"/>
      <c r="CL206" s="76"/>
      <c r="CM206" s="76"/>
      <c r="CN206" s="76"/>
      <c r="CO206" s="76"/>
      <c r="CP206" s="76"/>
      <c r="CQ206" s="76"/>
      <c r="CR206" s="76"/>
      <c r="CS206" s="76"/>
      <c r="CT206" s="76"/>
      <c r="CU206" s="76"/>
      <c r="CV206" s="76"/>
      <c r="CW206" s="76"/>
      <c r="CX206" s="76"/>
      <c r="CY206" s="76"/>
      <c r="CZ206" s="76"/>
      <c r="DA206" s="76"/>
      <c r="DB206" s="76"/>
      <c r="DC206" s="76"/>
      <c r="DD206" s="76"/>
      <c r="DE206" s="76"/>
      <c r="DF206" s="76"/>
      <c r="DG206" s="76"/>
      <c r="DH206" s="76"/>
      <c r="DI206" s="76"/>
      <c r="DJ206" s="76"/>
      <c r="DK206" s="76"/>
      <c r="DL206" s="76"/>
      <c r="DM206" s="76"/>
      <c r="DN206" s="76"/>
      <c r="DO206" s="76"/>
      <c r="DP206" s="76"/>
      <c r="DQ206" s="76"/>
      <c r="DR206" s="76"/>
      <c r="DS206" s="76"/>
      <c r="DT206" s="76"/>
      <c r="DU206" s="76"/>
      <c r="DV206" s="76"/>
      <c r="DW206" s="76"/>
      <c r="DX206" s="76"/>
      <c r="DY206" s="76"/>
      <c r="DZ206" s="76"/>
      <c r="EA206" s="76"/>
      <c r="EB206" s="76"/>
      <c r="EC206" s="76"/>
      <c r="ED206" s="76"/>
      <c r="EE206" s="76"/>
      <c r="EF206" s="76"/>
      <c r="EG206" s="76"/>
      <c r="EH206" s="76"/>
      <c r="EI206" s="76"/>
      <c r="EJ206" s="76"/>
      <c r="EK206" s="76"/>
      <c r="EL206" s="76"/>
      <c r="EM206" s="76"/>
      <c r="EN206" s="76"/>
      <c r="EO206" s="76"/>
      <c r="EP206" s="76"/>
      <c r="EQ206" s="76"/>
      <c r="ER206" s="76"/>
      <c r="ES206" s="76"/>
      <c r="ET206" s="76"/>
      <c r="EU206" s="76"/>
      <c r="EV206" s="76"/>
      <c r="EW206" s="76"/>
      <c r="EX206" s="76"/>
      <c r="EY206" s="76"/>
      <c r="EZ206" s="76"/>
      <c r="FA206" s="76"/>
      <c r="FB206" s="76"/>
      <c r="FC206" s="76"/>
      <c r="FD206" s="76"/>
      <c r="FE206" s="76"/>
      <c r="FF206" s="76"/>
      <c r="FG206" s="76"/>
      <c r="FH206" s="76"/>
      <c r="FI206" s="76"/>
      <c r="FJ206" s="76"/>
      <c r="FK206" s="76"/>
      <c r="FL206" s="76"/>
      <c r="FM206" s="76"/>
      <c r="FN206" s="76"/>
      <c r="FO206" s="76"/>
      <c r="FP206" s="76"/>
      <c r="FQ206" s="76"/>
      <c r="FR206" s="76"/>
      <c r="FS206" s="76"/>
      <c r="FT206" s="76"/>
      <c r="FU206" s="76"/>
      <c r="FV206" s="76"/>
      <c r="FW206" s="76"/>
      <c r="FX206" s="76"/>
      <c r="FY206" s="76"/>
      <c r="FZ206" s="76"/>
      <c r="GA206" s="76"/>
      <c r="GB206" s="76"/>
      <c r="GC206" s="76"/>
      <c r="GD206" s="76"/>
      <c r="GE206" s="76"/>
      <c r="GF206" s="76"/>
      <c r="GG206" s="76"/>
      <c r="GH206" s="76"/>
      <c r="GI206" s="76"/>
      <c r="GJ206" s="76"/>
      <c r="GK206" s="76"/>
      <c r="GL206" s="76"/>
      <c r="GM206" s="76"/>
      <c r="GN206" s="76"/>
      <c r="GO206" s="76"/>
      <c r="GP206" s="76"/>
      <c r="GQ206" s="76"/>
      <c r="GR206" s="76"/>
      <c r="GS206" s="76"/>
      <c r="GT206" s="76"/>
      <c r="GU206" s="76"/>
      <c r="GV206" s="76"/>
      <c r="GW206" s="76"/>
      <c r="GX206" s="76"/>
      <c r="GY206" s="76"/>
      <c r="GZ206" s="76"/>
      <c r="HA206" s="76"/>
      <c r="HB206" s="76"/>
      <c r="HC206" s="76"/>
      <c r="HD206" s="76"/>
      <c r="HE206" s="76"/>
      <c r="HF206" s="76"/>
      <c r="HG206" s="76"/>
      <c r="HH206" s="76"/>
      <c r="HI206" s="76"/>
      <c r="HJ206" s="76"/>
      <c r="HK206" s="76"/>
    </row>
    <row r="207" s="2" customFormat="1" spans="1:219">
      <c r="A207" s="23">
        <v>180</v>
      </c>
      <c r="B207" s="23">
        <v>6</v>
      </c>
      <c r="C207" s="23">
        <v>30</v>
      </c>
      <c r="D207" s="23">
        <v>600</v>
      </c>
      <c r="E207" s="23">
        <v>3.33333333333333</v>
      </c>
      <c r="F207" s="23">
        <v>20</v>
      </c>
      <c r="G207" s="22">
        <v>0</v>
      </c>
      <c r="H207" s="23">
        <v>0</v>
      </c>
      <c r="I207" s="24" t="s">
        <v>14</v>
      </c>
      <c r="J207" s="23">
        <v>320</v>
      </c>
      <c r="K207" s="23">
        <v>36.7</v>
      </c>
      <c r="L207" s="23">
        <v>1918</v>
      </c>
      <c r="M207" s="75">
        <v>1</v>
      </c>
      <c r="N207" s="8" t="s">
        <v>33</v>
      </c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6"/>
      <c r="BU207" s="76"/>
      <c r="BV207" s="76"/>
      <c r="BW207" s="76"/>
      <c r="BX207" s="76"/>
      <c r="BY207" s="76"/>
      <c r="BZ207" s="76"/>
      <c r="CA207" s="76"/>
      <c r="CB207" s="76"/>
      <c r="CC207" s="76"/>
      <c r="CD207" s="76"/>
      <c r="CE207" s="76"/>
      <c r="CF207" s="76"/>
      <c r="CG207" s="76"/>
      <c r="CH207" s="76"/>
      <c r="CI207" s="76"/>
      <c r="CJ207" s="76"/>
      <c r="CK207" s="76"/>
      <c r="CL207" s="76"/>
      <c r="CM207" s="76"/>
      <c r="CN207" s="76"/>
      <c r="CO207" s="76"/>
      <c r="CP207" s="76"/>
      <c r="CQ207" s="76"/>
      <c r="CR207" s="76"/>
      <c r="CS207" s="76"/>
      <c r="CT207" s="76"/>
      <c r="CU207" s="76"/>
      <c r="CV207" s="76"/>
      <c r="CW207" s="76"/>
      <c r="CX207" s="76"/>
      <c r="CY207" s="76"/>
      <c r="CZ207" s="76"/>
      <c r="DA207" s="76"/>
      <c r="DB207" s="76"/>
      <c r="DC207" s="76"/>
      <c r="DD207" s="76"/>
      <c r="DE207" s="76"/>
      <c r="DF207" s="76"/>
      <c r="DG207" s="76"/>
      <c r="DH207" s="76"/>
      <c r="DI207" s="76"/>
      <c r="DJ207" s="76"/>
      <c r="DK207" s="76"/>
      <c r="DL207" s="76"/>
      <c r="DM207" s="76"/>
      <c r="DN207" s="76"/>
      <c r="DO207" s="76"/>
      <c r="DP207" s="76"/>
      <c r="DQ207" s="76"/>
      <c r="DR207" s="76"/>
      <c r="DS207" s="76"/>
      <c r="DT207" s="76"/>
      <c r="DU207" s="76"/>
      <c r="DV207" s="76"/>
      <c r="DW207" s="76"/>
      <c r="DX207" s="76"/>
      <c r="DY207" s="76"/>
      <c r="DZ207" s="76"/>
      <c r="EA207" s="76"/>
      <c r="EB207" s="76"/>
      <c r="EC207" s="76"/>
      <c r="ED207" s="76"/>
      <c r="EE207" s="76"/>
      <c r="EF207" s="76"/>
      <c r="EG207" s="76"/>
      <c r="EH207" s="76"/>
      <c r="EI207" s="76"/>
      <c r="EJ207" s="76"/>
      <c r="EK207" s="76"/>
      <c r="EL207" s="76"/>
      <c r="EM207" s="76"/>
      <c r="EN207" s="76"/>
      <c r="EO207" s="76"/>
      <c r="EP207" s="76"/>
      <c r="EQ207" s="76"/>
      <c r="ER207" s="76"/>
      <c r="ES207" s="76"/>
      <c r="ET207" s="76"/>
      <c r="EU207" s="76"/>
      <c r="EV207" s="76"/>
      <c r="EW207" s="76"/>
      <c r="EX207" s="76"/>
      <c r="EY207" s="76"/>
      <c r="EZ207" s="76"/>
      <c r="FA207" s="76"/>
      <c r="FB207" s="76"/>
      <c r="FC207" s="76"/>
      <c r="FD207" s="76"/>
      <c r="FE207" s="76"/>
      <c r="FF207" s="76"/>
      <c r="FG207" s="76"/>
      <c r="FH207" s="76"/>
      <c r="FI207" s="76"/>
      <c r="FJ207" s="76"/>
      <c r="FK207" s="76"/>
      <c r="FL207" s="76"/>
      <c r="FM207" s="76"/>
      <c r="FN207" s="76"/>
      <c r="FO207" s="76"/>
      <c r="FP207" s="76"/>
      <c r="FQ207" s="76"/>
      <c r="FR207" s="76"/>
      <c r="FS207" s="76"/>
      <c r="FT207" s="76"/>
      <c r="FU207" s="76"/>
      <c r="FV207" s="76"/>
      <c r="FW207" s="76"/>
      <c r="FX207" s="76"/>
      <c r="FY207" s="76"/>
      <c r="FZ207" s="76"/>
      <c r="GA207" s="76"/>
      <c r="GB207" s="76"/>
      <c r="GC207" s="76"/>
      <c r="GD207" s="76"/>
      <c r="GE207" s="76"/>
      <c r="GF207" s="76"/>
      <c r="GG207" s="76"/>
      <c r="GH207" s="76"/>
      <c r="GI207" s="76"/>
      <c r="GJ207" s="76"/>
      <c r="GK207" s="76"/>
      <c r="GL207" s="76"/>
      <c r="GM207" s="76"/>
      <c r="GN207" s="76"/>
      <c r="GO207" s="76"/>
      <c r="GP207" s="76"/>
      <c r="GQ207" s="76"/>
      <c r="GR207" s="76"/>
      <c r="GS207" s="76"/>
      <c r="GT207" s="76"/>
      <c r="GU207" s="76"/>
      <c r="GV207" s="76"/>
      <c r="GW207" s="76"/>
      <c r="GX207" s="76"/>
      <c r="GY207" s="76"/>
      <c r="GZ207" s="76"/>
      <c r="HA207" s="76"/>
      <c r="HB207" s="76"/>
      <c r="HC207" s="76"/>
      <c r="HD207" s="76"/>
      <c r="HE207" s="76"/>
      <c r="HF207" s="76"/>
      <c r="HG207" s="76"/>
      <c r="HH207" s="76"/>
      <c r="HI207" s="76"/>
      <c r="HJ207" s="76"/>
      <c r="HK207" s="76"/>
    </row>
    <row r="208" ht="28.8" customHeight="1" spans="1:219">
      <c r="A208" s="8">
        <v>100</v>
      </c>
      <c r="B208" s="8">
        <v>3</v>
      </c>
      <c r="C208" s="8">
        <v>33.3333333333333</v>
      </c>
      <c r="D208" s="8">
        <v>600</v>
      </c>
      <c r="E208" s="8">
        <v>6</v>
      </c>
      <c r="F208" s="8">
        <v>400</v>
      </c>
      <c r="G208" s="28">
        <v>75</v>
      </c>
      <c r="H208" s="8">
        <v>14000</v>
      </c>
      <c r="I208" s="77" t="s">
        <v>16</v>
      </c>
      <c r="J208" s="8">
        <v>285</v>
      </c>
      <c r="K208" s="8">
        <v>36.7</v>
      </c>
      <c r="L208" s="8">
        <v>765</v>
      </c>
      <c r="M208" s="78">
        <v>0.927272727272727</v>
      </c>
      <c r="N208" s="8" t="s">
        <v>33</v>
      </c>
      <c r="O208" s="76"/>
    </row>
    <row r="209" ht="28.8" customHeight="1" spans="1:15">
      <c r="A209" s="8">
        <v>100</v>
      </c>
      <c r="B209" s="8">
        <v>6</v>
      </c>
      <c r="C209" s="8">
        <v>16.6666666666667</v>
      </c>
      <c r="D209" s="8">
        <v>600</v>
      </c>
      <c r="E209" s="8">
        <v>6</v>
      </c>
      <c r="F209" s="8">
        <v>400</v>
      </c>
      <c r="G209" s="28">
        <v>75</v>
      </c>
      <c r="H209" s="8">
        <v>14000</v>
      </c>
      <c r="I209" s="77" t="s">
        <v>16</v>
      </c>
      <c r="J209" s="8">
        <v>285</v>
      </c>
      <c r="K209" s="8">
        <v>36.7</v>
      </c>
      <c r="L209" s="8">
        <v>845</v>
      </c>
      <c r="M209" s="78">
        <v>0.949438202247191</v>
      </c>
      <c r="N209" s="8" t="s">
        <v>33</v>
      </c>
      <c r="O209" s="76"/>
    </row>
    <row r="210" ht="28.8" customHeight="1" spans="1:15">
      <c r="A210" s="8">
        <v>140</v>
      </c>
      <c r="B210" s="8">
        <v>3</v>
      </c>
      <c r="C210" s="8">
        <v>46.6666666666667</v>
      </c>
      <c r="D210" s="8">
        <v>600</v>
      </c>
      <c r="E210" s="8">
        <v>4.28571428571429</v>
      </c>
      <c r="F210" s="8">
        <v>400</v>
      </c>
      <c r="G210" s="28">
        <v>75</v>
      </c>
      <c r="H210" s="8">
        <v>14000</v>
      </c>
      <c r="I210" s="77" t="s">
        <v>16</v>
      </c>
      <c r="J210" s="8">
        <v>300</v>
      </c>
      <c r="K210" s="8">
        <v>36.7</v>
      </c>
      <c r="L210" s="8">
        <v>1275</v>
      </c>
      <c r="M210" s="78">
        <v>0.964447806354009</v>
      </c>
      <c r="N210" s="8" t="s">
        <v>33</v>
      </c>
      <c r="O210" s="76"/>
    </row>
    <row r="211" ht="28.8" customHeight="1" spans="1:15">
      <c r="A211" s="8">
        <v>140</v>
      </c>
      <c r="B211" s="8">
        <v>6</v>
      </c>
      <c r="C211" s="8">
        <v>23.3333333333333</v>
      </c>
      <c r="D211" s="8">
        <v>600</v>
      </c>
      <c r="E211" s="8">
        <v>4.28571428571429</v>
      </c>
      <c r="F211" s="8">
        <v>400</v>
      </c>
      <c r="G211" s="28">
        <v>75</v>
      </c>
      <c r="H211" s="8">
        <v>14000</v>
      </c>
      <c r="I211" s="77" t="s">
        <v>16</v>
      </c>
      <c r="J211" s="8">
        <v>300</v>
      </c>
      <c r="K211" s="8">
        <v>36.7</v>
      </c>
      <c r="L211" s="8">
        <v>1342</v>
      </c>
      <c r="M211" s="78">
        <v>0.965467625899281</v>
      </c>
      <c r="N211" s="8" t="s">
        <v>33</v>
      </c>
      <c r="O211" s="76"/>
    </row>
    <row r="212" ht="28.8" customHeight="1" spans="1:15">
      <c r="A212" s="8">
        <v>180</v>
      </c>
      <c r="B212" s="8">
        <v>3</v>
      </c>
      <c r="C212" s="8">
        <v>60</v>
      </c>
      <c r="D212" s="8">
        <v>600</v>
      </c>
      <c r="E212" s="8">
        <v>3.33333333333333</v>
      </c>
      <c r="F212" s="8">
        <v>400</v>
      </c>
      <c r="G212" s="28">
        <v>75</v>
      </c>
      <c r="H212" s="8">
        <v>14000</v>
      </c>
      <c r="I212" s="77" t="s">
        <v>16</v>
      </c>
      <c r="J212" s="8">
        <v>320</v>
      </c>
      <c r="K212" s="8">
        <v>36.7</v>
      </c>
      <c r="L212" s="8">
        <v>1798</v>
      </c>
      <c r="M212" s="78">
        <v>0.970842332613391</v>
      </c>
      <c r="N212" s="8" t="s">
        <v>33</v>
      </c>
      <c r="O212" s="76"/>
    </row>
    <row r="213" ht="28.8" customHeight="1" spans="1:15">
      <c r="A213" s="8">
        <v>180</v>
      </c>
      <c r="B213" s="8">
        <v>6</v>
      </c>
      <c r="C213" s="8">
        <v>30</v>
      </c>
      <c r="D213" s="8">
        <v>600</v>
      </c>
      <c r="E213" s="8">
        <v>3.33333333333333</v>
      </c>
      <c r="F213" s="8">
        <v>400</v>
      </c>
      <c r="G213" s="28">
        <v>75</v>
      </c>
      <c r="H213" s="8">
        <v>14000</v>
      </c>
      <c r="I213" s="77" t="s">
        <v>16</v>
      </c>
      <c r="J213" s="8">
        <v>320</v>
      </c>
      <c r="K213" s="8">
        <v>36.7</v>
      </c>
      <c r="L213" s="8">
        <v>1875</v>
      </c>
      <c r="M213" s="78">
        <v>0.977580813347237</v>
      </c>
      <c r="N213" s="8" t="s">
        <v>33</v>
      </c>
      <c r="O213" s="76"/>
    </row>
    <row r="214" ht="28.8" customHeight="1" spans="1:15">
      <c r="A214" s="8">
        <v>100</v>
      </c>
      <c r="B214" s="8">
        <v>3</v>
      </c>
      <c r="C214" s="8">
        <v>33.3333333333333</v>
      </c>
      <c r="D214" s="8">
        <v>600</v>
      </c>
      <c r="E214" s="8">
        <v>6</v>
      </c>
      <c r="F214" s="8">
        <v>600</v>
      </c>
      <c r="G214" s="28">
        <v>105</v>
      </c>
      <c r="H214" s="8">
        <v>31000</v>
      </c>
      <c r="I214" s="77" t="s">
        <v>16</v>
      </c>
      <c r="J214" s="8">
        <v>285</v>
      </c>
      <c r="K214" s="8">
        <v>36.7</v>
      </c>
      <c r="L214" s="8">
        <v>713</v>
      </c>
      <c r="M214" s="78">
        <v>0.864242424242424</v>
      </c>
      <c r="N214" s="8" t="s">
        <v>33</v>
      </c>
      <c r="O214" s="76"/>
    </row>
    <row r="215" ht="28.8" customHeight="1" spans="1:15">
      <c r="A215" s="8">
        <v>100</v>
      </c>
      <c r="B215" s="8">
        <v>6</v>
      </c>
      <c r="C215" s="8">
        <v>16.6666666666667</v>
      </c>
      <c r="D215" s="8">
        <v>600</v>
      </c>
      <c r="E215" s="8">
        <v>6</v>
      </c>
      <c r="F215" s="8">
        <v>600</v>
      </c>
      <c r="G215" s="28">
        <v>105</v>
      </c>
      <c r="H215" s="8">
        <v>31000</v>
      </c>
      <c r="I215" s="77" t="s">
        <v>16</v>
      </c>
      <c r="J215" s="8">
        <v>285</v>
      </c>
      <c r="K215" s="8">
        <v>36.7</v>
      </c>
      <c r="L215" s="8">
        <v>782</v>
      </c>
      <c r="M215" s="78">
        <v>0.878651685393258</v>
      </c>
      <c r="N215" s="8" t="s">
        <v>33</v>
      </c>
      <c r="O215" s="76"/>
    </row>
    <row r="216" ht="28.8" customHeight="1" spans="1:15">
      <c r="A216" s="8">
        <v>140</v>
      </c>
      <c r="B216" s="8">
        <v>3</v>
      </c>
      <c r="C216" s="8">
        <v>46.6666666666667</v>
      </c>
      <c r="D216" s="8">
        <v>600</v>
      </c>
      <c r="E216" s="8">
        <v>4.28571428571429</v>
      </c>
      <c r="F216" s="8">
        <v>600</v>
      </c>
      <c r="G216" s="28">
        <v>105</v>
      </c>
      <c r="H216" s="8">
        <v>31000</v>
      </c>
      <c r="I216" s="77" t="s">
        <v>16</v>
      </c>
      <c r="J216" s="8">
        <v>300</v>
      </c>
      <c r="K216" s="8">
        <v>36.7</v>
      </c>
      <c r="L216" s="8">
        <v>1205</v>
      </c>
      <c r="M216" s="78">
        <v>0.911497730711044</v>
      </c>
      <c r="N216" s="8" t="s">
        <v>33</v>
      </c>
      <c r="O216" s="76"/>
    </row>
    <row r="217" ht="28.8" customHeight="1" spans="1:15">
      <c r="A217" s="8">
        <v>140</v>
      </c>
      <c r="B217" s="8">
        <v>6</v>
      </c>
      <c r="C217" s="8">
        <v>23.3333333333333</v>
      </c>
      <c r="D217" s="8">
        <v>600</v>
      </c>
      <c r="E217" s="8">
        <v>4.28571428571429</v>
      </c>
      <c r="F217" s="8">
        <v>600</v>
      </c>
      <c r="G217" s="28">
        <v>105</v>
      </c>
      <c r="H217" s="8">
        <v>31000</v>
      </c>
      <c r="I217" s="77" t="s">
        <v>16</v>
      </c>
      <c r="J217" s="8">
        <v>300</v>
      </c>
      <c r="K217" s="8">
        <v>36.7</v>
      </c>
      <c r="L217" s="8">
        <v>1279</v>
      </c>
      <c r="M217" s="78">
        <v>0.920143884892086</v>
      </c>
      <c r="N217" s="8" t="s">
        <v>33</v>
      </c>
      <c r="O217" s="76"/>
    </row>
    <row r="218" ht="28.8" customHeight="1" spans="1:15">
      <c r="A218" s="8">
        <v>180</v>
      </c>
      <c r="B218" s="8">
        <v>3</v>
      </c>
      <c r="C218" s="8">
        <v>60</v>
      </c>
      <c r="D218" s="8">
        <v>600</v>
      </c>
      <c r="E218" s="8">
        <v>3.33333333333333</v>
      </c>
      <c r="F218" s="8">
        <v>600</v>
      </c>
      <c r="G218" s="28">
        <v>105</v>
      </c>
      <c r="H218" s="8">
        <v>31000</v>
      </c>
      <c r="I218" s="77" t="s">
        <v>16</v>
      </c>
      <c r="J218" s="8">
        <v>320</v>
      </c>
      <c r="K218" s="8">
        <v>36.7</v>
      </c>
      <c r="L218" s="8">
        <v>1729</v>
      </c>
      <c r="M218" s="78">
        <v>0.933585313174946</v>
      </c>
      <c r="N218" s="8" t="s">
        <v>33</v>
      </c>
      <c r="O218" s="76"/>
    </row>
    <row r="219" ht="28.8" customHeight="1" spans="1:15">
      <c r="A219" s="8">
        <v>180</v>
      </c>
      <c r="B219" s="8">
        <v>6</v>
      </c>
      <c r="C219" s="8">
        <v>30</v>
      </c>
      <c r="D219" s="8">
        <v>600</v>
      </c>
      <c r="E219" s="8">
        <v>3.33333333333333</v>
      </c>
      <c r="F219" s="8">
        <v>600</v>
      </c>
      <c r="G219" s="28">
        <v>105</v>
      </c>
      <c r="H219" s="8">
        <v>31000</v>
      </c>
      <c r="I219" s="77" t="s">
        <v>16</v>
      </c>
      <c r="J219" s="8">
        <v>320</v>
      </c>
      <c r="K219" s="8">
        <v>36.7</v>
      </c>
      <c r="L219" s="8">
        <v>1812</v>
      </c>
      <c r="M219" s="78">
        <v>0.94473409801877</v>
      </c>
      <c r="N219" s="8" t="s">
        <v>33</v>
      </c>
      <c r="O219" s="76"/>
    </row>
    <row r="220" ht="28.8" customHeight="1" spans="1:15">
      <c r="A220" s="8">
        <v>100</v>
      </c>
      <c r="B220" s="8">
        <v>3</v>
      </c>
      <c r="C220" s="8">
        <v>33.3333333333333</v>
      </c>
      <c r="D220" s="8">
        <v>600</v>
      </c>
      <c r="E220" s="8">
        <v>6</v>
      </c>
      <c r="F220" s="8">
        <v>800</v>
      </c>
      <c r="G220" s="28">
        <v>130</v>
      </c>
      <c r="H220" s="8">
        <v>54000</v>
      </c>
      <c r="I220" s="77" t="s">
        <v>16</v>
      </c>
      <c r="J220" s="8">
        <v>285</v>
      </c>
      <c r="K220" s="8">
        <v>36.7</v>
      </c>
      <c r="L220" s="8">
        <v>655</v>
      </c>
      <c r="M220" s="78">
        <v>0.793939393939394</v>
      </c>
      <c r="N220" s="8" t="s">
        <v>33</v>
      </c>
      <c r="O220" s="76"/>
    </row>
    <row r="221" ht="28.8" customHeight="1" spans="1:15">
      <c r="A221" s="8">
        <v>100</v>
      </c>
      <c r="B221" s="8">
        <v>6</v>
      </c>
      <c r="C221" s="8">
        <v>16.6666666666667</v>
      </c>
      <c r="D221" s="8">
        <v>600</v>
      </c>
      <c r="E221" s="8">
        <v>6</v>
      </c>
      <c r="F221" s="8">
        <v>800</v>
      </c>
      <c r="G221" s="28">
        <v>130</v>
      </c>
      <c r="H221" s="8">
        <v>54000</v>
      </c>
      <c r="I221" s="77" t="s">
        <v>16</v>
      </c>
      <c r="J221" s="8">
        <v>285</v>
      </c>
      <c r="K221" s="8">
        <v>36.7</v>
      </c>
      <c r="L221" s="8">
        <v>725</v>
      </c>
      <c r="M221" s="78">
        <v>0.814606741573034</v>
      </c>
      <c r="N221" s="8" t="s">
        <v>33</v>
      </c>
      <c r="O221" s="76"/>
    </row>
    <row r="222" ht="28.8" customHeight="1" spans="1:15">
      <c r="A222" s="8">
        <v>140</v>
      </c>
      <c r="B222" s="8">
        <v>3</v>
      </c>
      <c r="C222" s="8">
        <v>46.6666666666667</v>
      </c>
      <c r="D222" s="8">
        <v>600</v>
      </c>
      <c r="E222" s="8">
        <v>4.28571428571429</v>
      </c>
      <c r="F222" s="8">
        <v>800</v>
      </c>
      <c r="G222" s="28">
        <v>130</v>
      </c>
      <c r="H222" s="8">
        <v>54000</v>
      </c>
      <c r="I222" s="77" t="s">
        <v>16</v>
      </c>
      <c r="J222" s="8">
        <v>300</v>
      </c>
      <c r="K222" s="8">
        <v>36.7</v>
      </c>
      <c r="L222" s="8">
        <v>1152</v>
      </c>
      <c r="M222" s="78">
        <v>0.871406959152799</v>
      </c>
      <c r="N222" s="8" t="s">
        <v>33</v>
      </c>
      <c r="O222" s="76"/>
    </row>
    <row r="223" ht="28.8" customHeight="1" spans="1:15">
      <c r="A223" s="8">
        <v>140</v>
      </c>
      <c r="B223" s="8">
        <v>6</v>
      </c>
      <c r="C223" s="8">
        <v>23.3333333333333</v>
      </c>
      <c r="D223" s="8">
        <v>600</v>
      </c>
      <c r="E223" s="8">
        <v>4.28571428571429</v>
      </c>
      <c r="F223" s="8">
        <v>800</v>
      </c>
      <c r="G223" s="28">
        <v>130</v>
      </c>
      <c r="H223" s="8">
        <v>54000</v>
      </c>
      <c r="I223" s="77" t="s">
        <v>16</v>
      </c>
      <c r="J223" s="8">
        <v>300</v>
      </c>
      <c r="K223" s="8">
        <v>36.7</v>
      </c>
      <c r="L223" s="8">
        <v>1210</v>
      </c>
      <c r="M223" s="78">
        <v>0.870503597122302</v>
      </c>
      <c r="N223" s="8" t="s">
        <v>33</v>
      </c>
      <c r="O223" s="76"/>
    </row>
    <row r="224" ht="28.8" customHeight="1" spans="1:15">
      <c r="A224" s="8">
        <v>180</v>
      </c>
      <c r="B224" s="8">
        <v>3</v>
      </c>
      <c r="C224" s="8">
        <v>60</v>
      </c>
      <c r="D224" s="8">
        <v>600</v>
      </c>
      <c r="E224" s="8">
        <v>3.33333333333333</v>
      </c>
      <c r="F224" s="8">
        <v>800</v>
      </c>
      <c r="G224" s="28">
        <v>130</v>
      </c>
      <c r="H224" s="8">
        <v>54000</v>
      </c>
      <c r="I224" s="77" t="s">
        <v>16</v>
      </c>
      <c r="J224" s="8">
        <v>320</v>
      </c>
      <c r="K224" s="8">
        <v>36.7</v>
      </c>
      <c r="L224" s="8">
        <v>1682</v>
      </c>
      <c r="M224" s="78">
        <v>0.908207343412527</v>
      </c>
      <c r="N224" s="8" t="s">
        <v>33</v>
      </c>
      <c r="O224" s="76"/>
    </row>
    <row r="225" ht="28.8" customHeight="1" spans="1:15">
      <c r="A225" s="8">
        <v>180</v>
      </c>
      <c r="B225" s="8">
        <v>6</v>
      </c>
      <c r="C225" s="8">
        <v>30</v>
      </c>
      <c r="D225" s="8">
        <v>600</v>
      </c>
      <c r="E225" s="8">
        <v>3.33333333333333</v>
      </c>
      <c r="F225" s="8">
        <v>800</v>
      </c>
      <c r="G225" s="28">
        <v>130</v>
      </c>
      <c r="H225" s="8">
        <v>54000</v>
      </c>
      <c r="I225" s="77" t="s">
        <v>16</v>
      </c>
      <c r="J225" s="8">
        <v>320</v>
      </c>
      <c r="K225" s="8">
        <v>36.7</v>
      </c>
      <c r="L225" s="8">
        <v>1748</v>
      </c>
      <c r="M225" s="78">
        <v>0.911366006256517</v>
      </c>
      <c r="N225" s="8" t="s">
        <v>33</v>
      </c>
      <c r="O225" s="76"/>
    </row>
    <row r="226" ht="28.8" customHeight="1" spans="1:15">
      <c r="A226" s="8">
        <v>100</v>
      </c>
      <c r="B226" s="8">
        <v>3</v>
      </c>
      <c r="C226" s="8">
        <v>33.3333333333333</v>
      </c>
      <c r="D226" s="8">
        <v>600</v>
      </c>
      <c r="E226" s="8">
        <v>6</v>
      </c>
      <c r="F226" s="8">
        <v>1000</v>
      </c>
      <c r="G226" s="28">
        <v>170</v>
      </c>
      <c r="H226" s="8">
        <v>96000</v>
      </c>
      <c r="I226" s="77" t="s">
        <v>16</v>
      </c>
      <c r="J226" s="8">
        <v>285</v>
      </c>
      <c r="K226" s="8">
        <v>36.7</v>
      </c>
      <c r="L226" s="8">
        <v>583</v>
      </c>
      <c r="M226" s="78">
        <v>0.706666666666667</v>
      </c>
      <c r="N226" s="8" t="s">
        <v>33</v>
      </c>
      <c r="O226" s="76"/>
    </row>
    <row r="227" ht="28.8" customHeight="1" spans="1:15">
      <c r="A227" s="8">
        <v>100</v>
      </c>
      <c r="B227" s="8">
        <v>6</v>
      </c>
      <c r="C227" s="8">
        <v>16.6666666666667</v>
      </c>
      <c r="D227" s="8">
        <v>600</v>
      </c>
      <c r="E227" s="8">
        <v>6</v>
      </c>
      <c r="F227" s="8">
        <v>1000</v>
      </c>
      <c r="G227" s="28">
        <v>170</v>
      </c>
      <c r="H227" s="8">
        <v>96000</v>
      </c>
      <c r="I227" s="77" t="s">
        <v>16</v>
      </c>
      <c r="J227" s="8">
        <v>285</v>
      </c>
      <c r="K227" s="8">
        <v>36.7</v>
      </c>
      <c r="L227" s="8">
        <v>658</v>
      </c>
      <c r="M227" s="78">
        <v>0.739325842696629</v>
      </c>
      <c r="N227" s="8" t="s">
        <v>33</v>
      </c>
      <c r="O227" s="76"/>
    </row>
    <row r="228" ht="28.8" customHeight="1" spans="1:15">
      <c r="A228" s="8">
        <v>140</v>
      </c>
      <c r="B228" s="8">
        <v>3</v>
      </c>
      <c r="C228" s="8">
        <v>46.6666666666667</v>
      </c>
      <c r="D228" s="8">
        <v>600</v>
      </c>
      <c r="E228" s="8">
        <v>4.28571428571429</v>
      </c>
      <c r="F228" s="8">
        <v>1000</v>
      </c>
      <c r="G228" s="28">
        <v>170</v>
      </c>
      <c r="H228" s="8">
        <v>96000</v>
      </c>
      <c r="I228" s="77" t="s">
        <v>16</v>
      </c>
      <c r="J228" s="8">
        <v>300</v>
      </c>
      <c r="K228" s="8">
        <v>36.7</v>
      </c>
      <c r="L228" s="8">
        <v>1086</v>
      </c>
      <c r="M228" s="78">
        <v>0.821482602118003</v>
      </c>
      <c r="N228" s="8" t="s">
        <v>33</v>
      </c>
      <c r="O228" s="76"/>
    </row>
    <row r="229" ht="28.8" customHeight="1" spans="1:15">
      <c r="A229" s="8">
        <v>140</v>
      </c>
      <c r="B229" s="8">
        <v>6</v>
      </c>
      <c r="C229" s="8">
        <v>23.3333333333333</v>
      </c>
      <c r="D229" s="8">
        <v>600</v>
      </c>
      <c r="E229" s="8">
        <v>4.28571428571429</v>
      </c>
      <c r="F229" s="8">
        <v>1000</v>
      </c>
      <c r="G229" s="28">
        <v>170</v>
      </c>
      <c r="H229" s="8">
        <v>96000</v>
      </c>
      <c r="I229" s="77" t="s">
        <v>16</v>
      </c>
      <c r="J229" s="8">
        <v>300</v>
      </c>
      <c r="K229" s="8">
        <v>36.7</v>
      </c>
      <c r="L229" s="8">
        <v>1156</v>
      </c>
      <c r="M229" s="78">
        <v>0.831654676258993</v>
      </c>
      <c r="N229" s="8" t="s">
        <v>33</v>
      </c>
      <c r="O229" s="76"/>
    </row>
    <row r="230" ht="28.8" customHeight="1" spans="1:15">
      <c r="A230" s="8">
        <v>180</v>
      </c>
      <c r="B230" s="8">
        <v>3</v>
      </c>
      <c r="C230" s="8">
        <v>60</v>
      </c>
      <c r="D230" s="8">
        <v>600</v>
      </c>
      <c r="E230" s="8">
        <v>3.33333333333333</v>
      </c>
      <c r="F230" s="8">
        <v>1000</v>
      </c>
      <c r="G230" s="28">
        <v>170</v>
      </c>
      <c r="H230" s="8">
        <v>96000</v>
      </c>
      <c r="I230" s="77" t="s">
        <v>16</v>
      </c>
      <c r="J230" s="8">
        <v>320</v>
      </c>
      <c r="K230" s="8">
        <v>36.7</v>
      </c>
      <c r="L230" s="8">
        <v>1615</v>
      </c>
      <c r="M230" s="78">
        <v>0.872030237580994</v>
      </c>
      <c r="N230" s="8" t="s">
        <v>33</v>
      </c>
      <c r="O230" s="76"/>
    </row>
    <row r="231" ht="28.8" customHeight="1" spans="1:15">
      <c r="A231" s="8">
        <v>180</v>
      </c>
      <c r="B231" s="8">
        <v>6</v>
      </c>
      <c r="C231" s="8">
        <v>30</v>
      </c>
      <c r="D231" s="8">
        <v>600</v>
      </c>
      <c r="E231" s="8">
        <v>3.33333333333333</v>
      </c>
      <c r="F231" s="8">
        <v>1000</v>
      </c>
      <c r="G231" s="28">
        <v>170</v>
      </c>
      <c r="H231" s="8">
        <v>96000</v>
      </c>
      <c r="I231" s="77" t="s">
        <v>16</v>
      </c>
      <c r="J231" s="8">
        <v>320</v>
      </c>
      <c r="K231" s="8">
        <v>36.7</v>
      </c>
      <c r="L231" s="8">
        <v>1688</v>
      </c>
      <c r="M231" s="78">
        <v>0.880083420229406</v>
      </c>
      <c r="N231" s="8" t="s">
        <v>33</v>
      </c>
      <c r="O231" s="76"/>
    </row>
    <row r="232" spans="1:15">
      <c r="A232" s="16">
        <v>96</v>
      </c>
      <c r="B232" s="16">
        <v>2</v>
      </c>
      <c r="C232" s="16">
        <v>48</v>
      </c>
      <c r="D232" s="16">
        <v>600</v>
      </c>
      <c r="E232" s="16">
        <v>6.25</v>
      </c>
      <c r="F232" s="16">
        <v>20</v>
      </c>
      <c r="G232" s="11">
        <v>0</v>
      </c>
      <c r="H232" s="16">
        <v>0</v>
      </c>
      <c r="I232" s="12" t="s">
        <v>14</v>
      </c>
      <c r="J232" s="16">
        <v>320.1</v>
      </c>
      <c r="K232" s="16">
        <v>42.8</v>
      </c>
      <c r="L232" s="16">
        <v>620</v>
      </c>
      <c r="M232" s="79">
        <v>1</v>
      </c>
      <c r="N232" s="14" t="s">
        <v>34</v>
      </c>
    </row>
    <row r="233" spans="1:15">
      <c r="A233" s="14">
        <v>96</v>
      </c>
      <c r="B233" s="14">
        <v>2</v>
      </c>
      <c r="C233" s="14">
        <v>48</v>
      </c>
      <c r="D233" s="14">
        <v>600</v>
      </c>
      <c r="E233" s="14">
        <v>6.25</v>
      </c>
      <c r="F233" s="14">
        <v>200</v>
      </c>
      <c r="G233" s="80">
        <f t="array" ref="G233:G235">(F233:F235-20)/10+180</f>
        <v>198</v>
      </c>
      <c r="H233" s="14">
        <f t="array" ref="H233:H235">(F233:F235-20)/10*F233:F235/2+180*F233:F235</f>
        <v>37800</v>
      </c>
      <c r="I233" s="51" t="s">
        <v>16</v>
      </c>
      <c r="J233" s="14">
        <v>320.1</v>
      </c>
      <c r="K233" s="14">
        <v>42.8</v>
      </c>
      <c r="L233" s="14">
        <v>600</v>
      </c>
      <c r="M233" s="17">
        <v>0.967741935483871</v>
      </c>
      <c r="N233" s="14" t="s">
        <v>34</v>
      </c>
    </row>
    <row r="234" spans="1:15">
      <c r="A234" s="14">
        <v>96</v>
      </c>
      <c r="B234" s="14">
        <v>2</v>
      </c>
      <c r="C234" s="14">
        <v>48</v>
      </c>
      <c r="D234" s="14">
        <v>600</v>
      </c>
      <c r="E234" s="14">
        <v>6.25</v>
      </c>
      <c r="F234" s="14">
        <v>500</v>
      </c>
      <c r="G234" s="80">
        <v>228</v>
      </c>
      <c r="H234" s="14">
        <v>102000</v>
      </c>
      <c r="I234" s="51" t="s">
        <v>16</v>
      </c>
      <c r="J234" s="14">
        <v>320.1</v>
      </c>
      <c r="K234" s="14">
        <v>42.8</v>
      </c>
      <c r="L234" s="14">
        <v>500</v>
      </c>
      <c r="M234" s="17">
        <v>0.806451612903226</v>
      </c>
      <c r="N234" s="14" t="s">
        <v>34</v>
      </c>
    </row>
    <row r="235" spans="1:15">
      <c r="A235" s="14">
        <v>96</v>
      </c>
      <c r="B235" s="14">
        <v>2</v>
      </c>
      <c r="C235" s="14">
        <v>48</v>
      </c>
      <c r="D235" s="14">
        <v>600</v>
      </c>
      <c r="E235" s="14">
        <v>6.25</v>
      </c>
      <c r="F235" s="14">
        <v>700</v>
      </c>
      <c r="G235" s="80">
        <v>248</v>
      </c>
      <c r="H235" s="14">
        <v>149800</v>
      </c>
      <c r="I235" s="51" t="s">
        <v>16</v>
      </c>
      <c r="J235" s="14">
        <v>320.1</v>
      </c>
      <c r="K235" s="14">
        <v>42.8</v>
      </c>
      <c r="L235" s="51">
        <v>410</v>
      </c>
      <c r="M235" s="17">
        <v>0.661290322580645</v>
      </c>
      <c r="N235" s="14" t="s">
        <v>34</v>
      </c>
    </row>
    <row r="236" spans="1:15">
      <c r="A236" s="16">
        <v>96</v>
      </c>
      <c r="B236" s="16">
        <v>2</v>
      </c>
      <c r="C236" s="16">
        <v>48</v>
      </c>
      <c r="D236" s="16">
        <v>600</v>
      </c>
      <c r="E236" s="16">
        <v>6.25</v>
      </c>
      <c r="F236" s="16">
        <v>20</v>
      </c>
      <c r="G236" s="11">
        <v>0</v>
      </c>
      <c r="H236" s="16">
        <v>0</v>
      </c>
      <c r="I236" s="12" t="s">
        <v>14</v>
      </c>
      <c r="J236" s="16">
        <v>320.1</v>
      </c>
      <c r="K236" s="16">
        <v>43.66</v>
      </c>
      <c r="L236" s="81">
        <v>625</v>
      </c>
      <c r="M236" s="79">
        <v>1</v>
      </c>
      <c r="N236" s="14" t="s">
        <v>34</v>
      </c>
    </row>
    <row r="237" spans="1:15">
      <c r="A237" s="14">
        <v>96</v>
      </c>
      <c r="B237" s="14">
        <v>2</v>
      </c>
      <c r="C237" s="14">
        <v>48</v>
      </c>
      <c r="D237" s="14">
        <v>600</v>
      </c>
      <c r="E237" s="14">
        <v>6.25</v>
      </c>
      <c r="F237" s="14">
        <v>200</v>
      </c>
      <c r="G237" s="80">
        <f t="array" ref="G237:G239">(F237:F239-20)/10+180</f>
        <v>198</v>
      </c>
      <c r="H237" s="14">
        <f t="array" ref="H237:H239">(F237:F239-20)/10*F237:F239/2+180*F237:F239</f>
        <v>37800</v>
      </c>
      <c r="I237" s="51" t="s">
        <v>16</v>
      </c>
      <c r="J237" s="14">
        <v>320.1</v>
      </c>
      <c r="K237" s="14">
        <v>43.66</v>
      </c>
      <c r="L237" s="51">
        <v>610</v>
      </c>
      <c r="M237" s="17">
        <v>0.976</v>
      </c>
      <c r="N237" s="14" t="s">
        <v>34</v>
      </c>
    </row>
    <row r="238" spans="1:15">
      <c r="A238" s="14">
        <v>96</v>
      </c>
      <c r="B238" s="14">
        <v>2</v>
      </c>
      <c r="C238" s="14">
        <v>48</v>
      </c>
      <c r="D238" s="14">
        <v>600</v>
      </c>
      <c r="E238" s="14">
        <v>6.25</v>
      </c>
      <c r="F238" s="14">
        <v>500</v>
      </c>
      <c r="G238" s="80">
        <v>228</v>
      </c>
      <c r="H238" s="14">
        <v>102000</v>
      </c>
      <c r="I238" s="51" t="s">
        <v>16</v>
      </c>
      <c r="J238" s="14">
        <v>320.1</v>
      </c>
      <c r="K238" s="14">
        <v>43.66</v>
      </c>
      <c r="L238" s="51">
        <v>495</v>
      </c>
      <c r="M238" s="17">
        <v>0.792</v>
      </c>
      <c r="N238" s="14" t="s">
        <v>34</v>
      </c>
    </row>
    <row r="239" spans="1:15">
      <c r="A239" s="14">
        <v>96</v>
      </c>
      <c r="B239" s="14">
        <v>2</v>
      </c>
      <c r="C239" s="14">
        <v>48</v>
      </c>
      <c r="D239" s="14">
        <v>600</v>
      </c>
      <c r="E239" s="14">
        <v>6.25</v>
      </c>
      <c r="F239" s="14">
        <v>700</v>
      </c>
      <c r="G239" s="80">
        <v>248</v>
      </c>
      <c r="H239" s="14">
        <v>149800</v>
      </c>
      <c r="I239" s="51" t="s">
        <v>16</v>
      </c>
      <c r="J239" s="14">
        <v>320.1</v>
      </c>
      <c r="K239" s="14">
        <v>43.66</v>
      </c>
      <c r="L239" s="51">
        <v>405</v>
      </c>
      <c r="M239" s="17">
        <v>0.648</v>
      </c>
      <c r="N239" s="14" t="s">
        <v>34</v>
      </c>
    </row>
    <row r="240" spans="1:15">
      <c r="A240" s="16">
        <v>96</v>
      </c>
      <c r="B240" s="16">
        <v>2</v>
      </c>
      <c r="C240" s="16">
        <v>48</v>
      </c>
      <c r="D240" s="16">
        <v>600</v>
      </c>
      <c r="E240" s="16">
        <v>6.25</v>
      </c>
      <c r="F240" s="16">
        <v>20</v>
      </c>
      <c r="G240" s="11">
        <v>0</v>
      </c>
      <c r="H240" s="16">
        <v>0</v>
      </c>
      <c r="I240" s="12" t="s">
        <v>14</v>
      </c>
      <c r="J240" s="16">
        <v>320.1</v>
      </c>
      <c r="K240" s="16">
        <v>35.27</v>
      </c>
      <c r="L240" s="81">
        <v>580</v>
      </c>
      <c r="M240" s="79">
        <v>1</v>
      </c>
      <c r="N240" s="14" t="s">
        <v>34</v>
      </c>
    </row>
    <row r="241" spans="1:14">
      <c r="A241" s="14">
        <v>96</v>
      </c>
      <c r="B241" s="14">
        <v>2</v>
      </c>
      <c r="C241" s="14">
        <v>48</v>
      </c>
      <c r="D241" s="14">
        <v>600</v>
      </c>
      <c r="E241" s="14">
        <v>6.25</v>
      </c>
      <c r="F241" s="14">
        <v>200</v>
      </c>
      <c r="G241" s="80">
        <f t="array" ref="G241:G243">(F241:F243-20)/10+180</f>
        <v>198</v>
      </c>
      <c r="H241" s="14">
        <f t="array" ref="H241:H243">(F241:F243-20)/10*F241:F243/2+180*F241:F243</f>
        <v>37800</v>
      </c>
      <c r="I241" s="51" t="s">
        <v>16</v>
      </c>
      <c r="J241" s="14">
        <v>320.1</v>
      </c>
      <c r="K241" s="14">
        <v>35.27</v>
      </c>
      <c r="L241" s="51">
        <v>570</v>
      </c>
      <c r="M241" s="17">
        <v>0.982758620689655</v>
      </c>
      <c r="N241" s="14" t="s">
        <v>34</v>
      </c>
    </row>
    <row r="242" spans="1:14">
      <c r="A242" s="14">
        <v>96</v>
      </c>
      <c r="B242" s="14">
        <v>2</v>
      </c>
      <c r="C242" s="14">
        <v>48</v>
      </c>
      <c r="D242" s="14">
        <v>600</v>
      </c>
      <c r="E242" s="14">
        <v>6.25</v>
      </c>
      <c r="F242" s="14">
        <v>500</v>
      </c>
      <c r="G242" s="80">
        <v>228</v>
      </c>
      <c r="H242" s="14">
        <v>102000</v>
      </c>
      <c r="I242" s="51" t="s">
        <v>16</v>
      </c>
      <c r="J242" s="14">
        <v>320.1</v>
      </c>
      <c r="K242" s="14">
        <v>35.27</v>
      </c>
      <c r="L242" s="51">
        <v>460</v>
      </c>
      <c r="M242" s="17">
        <v>0.793103448275862</v>
      </c>
      <c r="N242" s="14" t="s">
        <v>34</v>
      </c>
    </row>
    <row r="243" spans="1:14">
      <c r="A243" s="14">
        <v>96</v>
      </c>
      <c r="B243" s="14">
        <v>2</v>
      </c>
      <c r="C243" s="14">
        <v>48</v>
      </c>
      <c r="D243" s="14">
        <v>600</v>
      </c>
      <c r="E243" s="14">
        <v>6.25</v>
      </c>
      <c r="F243" s="14">
        <v>700</v>
      </c>
      <c r="G243" s="80">
        <v>248</v>
      </c>
      <c r="H243" s="14">
        <v>149800</v>
      </c>
      <c r="I243" s="51" t="s">
        <v>16</v>
      </c>
      <c r="J243" s="14">
        <v>320.1</v>
      </c>
      <c r="K243" s="14">
        <v>35.27</v>
      </c>
      <c r="L243" s="51">
        <v>365</v>
      </c>
      <c r="M243" s="17">
        <v>0.629310344827586</v>
      </c>
      <c r="N243" s="14" t="s">
        <v>34</v>
      </c>
    </row>
    <row r="244" spans="1:14">
      <c r="A244" s="56">
        <v>140</v>
      </c>
      <c r="B244" s="56">
        <v>6.5</v>
      </c>
      <c r="C244" s="56">
        <f t="shared" ref="C244:C250" si="2">A244/B244</f>
        <v>21.5384615384615</v>
      </c>
      <c r="D244" s="56">
        <v>440</v>
      </c>
      <c r="E244" s="56">
        <v>3.14285714285714</v>
      </c>
      <c r="F244" s="56">
        <v>20</v>
      </c>
      <c r="G244" s="57">
        <v>0</v>
      </c>
      <c r="H244" s="56">
        <v>0</v>
      </c>
      <c r="I244" s="58" t="s">
        <v>14</v>
      </c>
      <c r="J244" s="56">
        <v>924</v>
      </c>
      <c r="K244" s="56">
        <v>63</v>
      </c>
      <c r="L244" s="62">
        <v>4173</v>
      </c>
      <c r="M244" s="59">
        <v>1</v>
      </c>
      <c r="N244" s="60" t="s">
        <v>35</v>
      </c>
    </row>
    <row r="245" spans="1:14">
      <c r="A245" s="60">
        <v>140</v>
      </c>
      <c r="B245" s="60">
        <v>6.5</v>
      </c>
      <c r="C245" s="60">
        <f t="shared" si="2"/>
        <v>21.5384615384615</v>
      </c>
      <c r="D245" s="60">
        <v>440</v>
      </c>
      <c r="E245" s="60">
        <v>3.14285714285714</v>
      </c>
      <c r="F245" s="60">
        <v>400</v>
      </c>
      <c r="G245" s="61">
        <f>(F245-20)/30+120</f>
        <v>132.666666666667</v>
      </c>
      <c r="H245" s="60">
        <v>50533.3333333333</v>
      </c>
      <c r="I245" s="82" t="s">
        <v>16</v>
      </c>
      <c r="J245" s="60">
        <v>924</v>
      </c>
      <c r="K245" s="60">
        <v>63</v>
      </c>
      <c r="L245" s="60">
        <v>4249</v>
      </c>
      <c r="M245" s="63">
        <v>1.01821231727774</v>
      </c>
      <c r="N245" s="60" t="s">
        <v>35</v>
      </c>
    </row>
    <row r="246" spans="1:14">
      <c r="A246" s="60">
        <v>140</v>
      </c>
      <c r="B246" s="60">
        <v>6.5</v>
      </c>
      <c r="C246" s="60">
        <f t="shared" si="2"/>
        <v>21.5384615384615</v>
      </c>
      <c r="D246" s="60">
        <v>440</v>
      </c>
      <c r="E246" s="60">
        <v>3.14285714285714</v>
      </c>
      <c r="F246" s="60">
        <v>600</v>
      </c>
      <c r="G246" s="61">
        <f>(F246-20)/30+120</f>
        <v>139.333333333333</v>
      </c>
      <c r="H246" s="60">
        <v>77800</v>
      </c>
      <c r="I246" s="82" t="s">
        <v>16</v>
      </c>
      <c r="J246" s="60">
        <v>924</v>
      </c>
      <c r="K246" s="60">
        <v>63</v>
      </c>
      <c r="L246" s="60">
        <v>4310</v>
      </c>
      <c r="M246" s="63">
        <v>1.03283009825066</v>
      </c>
      <c r="N246" s="60" t="s">
        <v>35</v>
      </c>
    </row>
    <row r="247" spans="1:14">
      <c r="A247" s="60">
        <v>140</v>
      </c>
      <c r="B247" s="60">
        <v>6.5</v>
      </c>
      <c r="C247" s="60">
        <f t="shared" si="2"/>
        <v>21.5384615384615</v>
      </c>
      <c r="D247" s="60">
        <v>440</v>
      </c>
      <c r="E247" s="60">
        <v>3.14285714285714</v>
      </c>
      <c r="F247" s="60">
        <v>800</v>
      </c>
      <c r="G247" s="61">
        <f>(F247-20)/30+120</f>
        <v>146</v>
      </c>
      <c r="H247" s="60">
        <v>106400</v>
      </c>
      <c r="I247" s="82" t="s">
        <v>16</v>
      </c>
      <c r="J247" s="60">
        <v>924</v>
      </c>
      <c r="K247" s="60">
        <v>63</v>
      </c>
      <c r="L247" s="60">
        <v>1876</v>
      </c>
      <c r="M247" s="63">
        <v>0.449556673855739</v>
      </c>
      <c r="N247" s="60" t="s">
        <v>35</v>
      </c>
    </row>
    <row r="248" spans="1:14">
      <c r="A248" s="56">
        <v>140</v>
      </c>
      <c r="B248" s="56">
        <v>6.5</v>
      </c>
      <c r="C248" s="56">
        <f t="shared" si="2"/>
        <v>21.5384615384615</v>
      </c>
      <c r="D248" s="56">
        <v>440</v>
      </c>
      <c r="E248" s="56">
        <v>3.14285714285714</v>
      </c>
      <c r="F248" s="56">
        <v>20</v>
      </c>
      <c r="G248" s="57">
        <v>0</v>
      </c>
      <c r="H248" s="56">
        <v>0</v>
      </c>
      <c r="I248" s="58" t="s">
        <v>14</v>
      </c>
      <c r="J248" s="56">
        <v>924</v>
      </c>
      <c r="K248" s="56">
        <v>102</v>
      </c>
      <c r="L248" s="56">
        <v>4834</v>
      </c>
      <c r="M248" s="59">
        <v>1</v>
      </c>
      <c r="N248" s="60" t="s">
        <v>35</v>
      </c>
    </row>
    <row r="249" spans="1:14">
      <c r="A249" s="60">
        <v>140</v>
      </c>
      <c r="B249" s="60">
        <v>6.5</v>
      </c>
      <c r="C249" s="60">
        <f t="shared" si="2"/>
        <v>21.5384615384615</v>
      </c>
      <c r="D249" s="60">
        <v>440</v>
      </c>
      <c r="E249" s="60">
        <v>3.14285714285714</v>
      </c>
      <c r="F249" s="60">
        <v>600</v>
      </c>
      <c r="G249" s="61">
        <f>(F249-20)/30+120</f>
        <v>139.333333333333</v>
      </c>
      <c r="H249" s="60">
        <v>77800</v>
      </c>
      <c r="I249" s="82" t="s">
        <v>16</v>
      </c>
      <c r="J249" s="60">
        <v>924</v>
      </c>
      <c r="K249" s="60">
        <v>102</v>
      </c>
      <c r="L249" s="60">
        <v>5080</v>
      </c>
      <c r="M249" s="63">
        <v>1.05088953247828</v>
      </c>
      <c r="N249" s="60" t="s">
        <v>35</v>
      </c>
    </row>
    <row r="250" spans="1:14">
      <c r="A250" s="60">
        <v>140</v>
      </c>
      <c r="B250" s="60">
        <v>6.5</v>
      </c>
      <c r="C250" s="60">
        <f t="shared" si="2"/>
        <v>21.5384615384615</v>
      </c>
      <c r="D250" s="60">
        <v>440</v>
      </c>
      <c r="E250" s="60">
        <v>3.14285714285714</v>
      </c>
      <c r="F250" s="60">
        <v>800</v>
      </c>
      <c r="G250" s="61">
        <f>(F250-20)/30+120</f>
        <v>146</v>
      </c>
      <c r="H250" s="60">
        <v>106400</v>
      </c>
      <c r="I250" s="82" t="s">
        <v>16</v>
      </c>
      <c r="J250" s="60">
        <v>924</v>
      </c>
      <c r="K250" s="60">
        <v>102</v>
      </c>
      <c r="L250" s="60">
        <v>1970</v>
      </c>
      <c r="M250" s="63">
        <v>0.40752999586264</v>
      </c>
      <c r="N250" s="60" t="s">
        <v>35</v>
      </c>
    </row>
    <row r="251" spans="1:14">
      <c r="A251" s="32">
        <v>219</v>
      </c>
      <c r="B251" s="32">
        <v>6.08</v>
      </c>
      <c r="C251" s="32">
        <f t="array" ref="C251:C277">A251:A277/B251:B277</f>
        <v>36.0197368421053</v>
      </c>
      <c r="D251" s="32">
        <v>657</v>
      </c>
      <c r="E251" s="32">
        <v>3</v>
      </c>
      <c r="F251" s="32">
        <v>20</v>
      </c>
      <c r="G251" s="31">
        <v>0</v>
      </c>
      <c r="H251" s="32">
        <v>0</v>
      </c>
      <c r="I251" s="33" t="s">
        <v>14</v>
      </c>
      <c r="J251" s="32">
        <v>395.7</v>
      </c>
      <c r="K251" s="32">
        <v>58.5</v>
      </c>
      <c r="L251" s="32">
        <v>4045.8</v>
      </c>
      <c r="M251" s="53">
        <v>1</v>
      </c>
      <c r="N251" s="35" t="s">
        <v>36</v>
      </c>
    </row>
    <row r="252" spans="1:14">
      <c r="A252" s="32">
        <v>220</v>
      </c>
      <c r="B252" s="32">
        <v>6.05</v>
      </c>
      <c r="C252" s="32">
        <v>36.3636363636364</v>
      </c>
      <c r="D252" s="32">
        <v>657</v>
      </c>
      <c r="E252" s="32">
        <v>2.98636363636364</v>
      </c>
      <c r="F252" s="32">
        <v>20</v>
      </c>
      <c r="G252" s="31">
        <v>0</v>
      </c>
      <c r="H252" s="32">
        <v>0</v>
      </c>
      <c r="I252" s="33" t="s">
        <v>14</v>
      </c>
      <c r="J252" s="32">
        <v>395.7</v>
      </c>
      <c r="K252" s="32">
        <v>58.5</v>
      </c>
      <c r="L252" s="32">
        <v>3971.9</v>
      </c>
      <c r="M252" s="53">
        <v>1</v>
      </c>
      <c r="N252" s="35" t="s">
        <v>36</v>
      </c>
    </row>
    <row r="253" spans="1:14">
      <c r="A253" s="32">
        <v>219</v>
      </c>
      <c r="B253" s="32">
        <v>6.07</v>
      </c>
      <c r="C253" s="32">
        <v>36.0790774299835</v>
      </c>
      <c r="D253" s="32">
        <v>657</v>
      </c>
      <c r="E253" s="32">
        <v>3</v>
      </c>
      <c r="F253" s="32">
        <v>20</v>
      </c>
      <c r="G253" s="31">
        <v>0</v>
      </c>
      <c r="H253" s="32">
        <v>0</v>
      </c>
      <c r="I253" s="33" t="s">
        <v>14</v>
      </c>
      <c r="J253" s="32">
        <v>395.7</v>
      </c>
      <c r="K253" s="32">
        <v>58.5</v>
      </c>
      <c r="L253" s="32">
        <v>3959.2</v>
      </c>
      <c r="M253" s="53">
        <v>1</v>
      </c>
      <c r="N253" s="35" t="s">
        <v>36</v>
      </c>
    </row>
    <row r="254" spans="1:14">
      <c r="A254" s="35">
        <v>220</v>
      </c>
      <c r="B254" s="35">
        <v>6.4</v>
      </c>
      <c r="C254" s="35">
        <v>34.375</v>
      </c>
      <c r="D254" s="35">
        <v>657</v>
      </c>
      <c r="E254" s="35">
        <v>2.98636363636364</v>
      </c>
      <c r="F254" s="35">
        <v>902</v>
      </c>
      <c r="G254" s="35">
        <v>45</v>
      </c>
      <c r="H254" s="35">
        <v>33973</v>
      </c>
      <c r="I254" s="38" t="s">
        <v>16</v>
      </c>
      <c r="J254" s="35">
        <v>395.7</v>
      </c>
      <c r="K254" s="35">
        <v>58.5</v>
      </c>
      <c r="L254" s="35">
        <v>3512.3</v>
      </c>
      <c r="M254" s="55">
        <v>0.868134855899946</v>
      </c>
      <c r="N254" s="35" t="s">
        <v>36</v>
      </c>
    </row>
    <row r="255" spans="1:14">
      <c r="A255" s="35">
        <v>217.5</v>
      </c>
      <c r="B255" s="35">
        <v>6.1</v>
      </c>
      <c r="C255" s="35">
        <v>35.655737704918</v>
      </c>
      <c r="D255" s="35">
        <v>657</v>
      </c>
      <c r="E255" s="35">
        <v>3.02068965517241</v>
      </c>
      <c r="F255" s="35">
        <v>902</v>
      </c>
      <c r="G255" s="35">
        <v>45</v>
      </c>
      <c r="H255" s="35">
        <v>33973</v>
      </c>
      <c r="I255" s="38" t="s">
        <v>16</v>
      </c>
      <c r="J255" s="35">
        <v>395.7</v>
      </c>
      <c r="K255" s="35">
        <v>58.5</v>
      </c>
      <c r="L255" s="35">
        <v>3752</v>
      </c>
      <c r="M255" s="55">
        <v>0.944636068380372</v>
      </c>
      <c r="N255" s="35" t="s">
        <v>36</v>
      </c>
    </row>
    <row r="256" spans="1:14">
      <c r="A256" s="35">
        <v>218</v>
      </c>
      <c r="B256" s="35">
        <v>5.8</v>
      </c>
      <c r="C256" s="35">
        <v>37.5862068965517</v>
      </c>
      <c r="D256" s="35">
        <v>657</v>
      </c>
      <c r="E256" s="35">
        <v>3.01376146788991</v>
      </c>
      <c r="F256" s="35">
        <v>902</v>
      </c>
      <c r="G256" s="35">
        <v>45</v>
      </c>
      <c r="H256" s="35">
        <v>33973</v>
      </c>
      <c r="I256" s="38" t="s">
        <v>16</v>
      </c>
      <c r="J256" s="35">
        <v>395.7</v>
      </c>
      <c r="K256" s="35">
        <v>58.5</v>
      </c>
      <c r="L256" s="35">
        <v>3742</v>
      </c>
      <c r="M256" s="55">
        <v>0.945140432410588</v>
      </c>
      <c r="N256" s="35" t="s">
        <v>36</v>
      </c>
    </row>
    <row r="257" spans="1:14">
      <c r="A257" s="35">
        <v>219</v>
      </c>
      <c r="B257" s="35">
        <v>6.05</v>
      </c>
      <c r="C257" s="35">
        <v>36.198347107438</v>
      </c>
      <c r="D257" s="35">
        <v>657</v>
      </c>
      <c r="E257" s="35">
        <v>3</v>
      </c>
      <c r="F257" s="35">
        <v>1006</v>
      </c>
      <c r="G257" s="35">
        <v>90</v>
      </c>
      <c r="H257" s="35">
        <v>77177</v>
      </c>
      <c r="I257" s="38" t="s">
        <v>16</v>
      </c>
      <c r="J257" s="35">
        <v>395.7</v>
      </c>
      <c r="K257" s="35">
        <v>58.5</v>
      </c>
      <c r="L257" s="35">
        <v>2411.2</v>
      </c>
      <c r="M257" s="55">
        <v>0.595976073953235</v>
      </c>
      <c r="N257" s="35" t="s">
        <v>36</v>
      </c>
    </row>
    <row r="258" spans="1:14">
      <c r="A258" s="35">
        <v>218</v>
      </c>
      <c r="B258" s="35">
        <v>6.11</v>
      </c>
      <c r="C258" s="35">
        <v>35.6792144026187</v>
      </c>
      <c r="D258" s="35">
        <v>657</v>
      </c>
      <c r="E258" s="35">
        <v>3.01376146788991</v>
      </c>
      <c r="F258" s="35">
        <v>1006</v>
      </c>
      <c r="G258" s="35">
        <v>90</v>
      </c>
      <c r="H258" s="35">
        <v>77177</v>
      </c>
      <c r="I258" s="38" t="s">
        <v>16</v>
      </c>
      <c r="J258" s="35">
        <v>395.7</v>
      </c>
      <c r="K258" s="35">
        <v>58.5</v>
      </c>
      <c r="L258" s="35">
        <v>2098.7</v>
      </c>
      <c r="M258" s="55">
        <v>0.52838691809965</v>
      </c>
      <c r="N258" s="35" t="s">
        <v>36</v>
      </c>
    </row>
    <row r="259" spans="1:14">
      <c r="A259" s="35">
        <v>219.5</v>
      </c>
      <c r="B259" s="35">
        <v>5.88</v>
      </c>
      <c r="C259" s="35">
        <v>37.3299319727891</v>
      </c>
      <c r="D259" s="35">
        <v>657</v>
      </c>
      <c r="E259" s="35">
        <v>2.99316628701595</v>
      </c>
      <c r="F259" s="35">
        <v>1006</v>
      </c>
      <c r="G259" s="35">
        <v>90</v>
      </c>
      <c r="H259" s="35">
        <v>77177</v>
      </c>
      <c r="I259" s="38" t="s">
        <v>16</v>
      </c>
      <c r="J259" s="35">
        <v>395.7</v>
      </c>
      <c r="K259" s="35">
        <v>58.5</v>
      </c>
      <c r="L259" s="35">
        <v>2617.1</v>
      </c>
      <c r="M259" s="55">
        <v>0.661017377247929</v>
      </c>
      <c r="N259" s="35" t="s">
        <v>36</v>
      </c>
    </row>
    <row r="260" spans="1:14">
      <c r="A260" s="32">
        <v>219</v>
      </c>
      <c r="B260" s="32">
        <v>6.16</v>
      </c>
      <c r="C260" s="32">
        <v>35.5519480519481</v>
      </c>
      <c r="D260" s="32">
        <v>657</v>
      </c>
      <c r="E260" s="32">
        <v>3</v>
      </c>
      <c r="F260" s="32">
        <v>20</v>
      </c>
      <c r="G260" s="31">
        <v>0</v>
      </c>
      <c r="H260" s="32">
        <v>0</v>
      </c>
      <c r="I260" s="33" t="s">
        <v>14</v>
      </c>
      <c r="J260" s="32">
        <v>830</v>
      </c>
      <c r="K260" s="32">
        <v>85.1</v>
      </c>
      <c r="L260" s="32">
        <v>7703.9</v>
      </c>
      <c r="M260" s="53">
        <v>1</v>
      </c>
      <c r="N260" s="35" t="s">
        <v>36</v>
      </c>
    </row>
    <row r="261" spans="1:14">
      <c r="A261" s="32">
        <v>218.67</v>
      </c>
      <c r="B261" s="32">
        <v>6.27</v>
      </c>
      <c r="C261" s="32">
        <v>34.8755980861244</v>
      </c>
      <c r="D261" s="32">
        <v>657</v>
      </c>
      <c r="E261" s="32">
        <v>3.0045273700096</v>
      </c>
      <c r="F261" s="32">
        <v>20</v>
      </c>
      <c r="G261" s="31">
        <v>0</v>
      </c>
      <c r="H261" s="32">
        <v>0</v>
      </c>
      <c r="I261" s="33" t="s">
        <v>14</v>
      </c>
      <c r="J261" s="32">
        <v>830</v>
      </c>
      <c r="K261" s="32">
        <v>85.1</v>
      </c>
      <c r="L261" s="32">
        <v>7668</v>
      </c>
      <c r="M261" s="53">
        <v>1</v>
      </c>
      <c r="N261" s="35" t="s">
        <v>36</v>
      </c>
    </row>
    <row r="262" spans="1:14">
      <c r="A262" s="32">
        <v>218.67</v>
      </c>
      <c r="B262" s="32">
        <v>6.11</v>
      </c>
      <c r="C262" s="32">
        <v>35.7888707037643</v>
      </c>
      <c r="D262" s="32">
        <v>657</v>
      </c>
      <c r="E262" s="32">
        <v>3.0045273700096</v>
      </c>
      <c r="F262" s="32">
        <v>20</v>
      </c>
      <c r="G262" s="31">
        <v>0</v>
      </c>
      <c r="H262" s="32">
        <v>0</v>
      </c>
      <c r="I262" s="33" t="s">
        <v>14</v>
      </c>
      <c r="J262" s="32">
        <v>830</v>
      </c>
      <c r="K262" s="32">
        <v>85.1</v>
      </c>
      <c r="L262" s="32">
        <v>7468.1</v>
      </c>
      <c r="M262" s="53">
        <v>1</v>
      </c>
      <c r="N262" s="35" t="s">
        <v>36</v>
      </c>
    </row>
    <row r="263" spans="1:14">
      <c r="A263" s="35">
        <v>218.67</v>
      </c>
      <c r="B263" s="35">
        <v>6.01</v>
      </c>
      <c r="C263" s="35">
        <v>36.3843594009983</v>
      </c>
      <c r="D263" s="35">
        <v>657</v>
      </c>
      <c r="E263" s="35">
        <v>3.0045273700096</v>
      </c>
      <c r="F263" s="35">
        <v>902</v>
      </c>
      <c r="G263" s="35">
        <v>45</v>
      </c>
      <c r="H263" s="35">
        <v>33973</v>
      </c>
      <c r="I263" s="38" t="s">
        <v>16</v>
      </c>
      <c r="J263" s="35">
        <v>830</v>
      </c>
      <c r="K263" s="35">
        <v>85.1</v>
      </c>
      <c r="L263" s="35">
        <v>3615</v>
      </c>
      <c r="M263" s="55">
        <v>0.469242851023508</v>
      </c>
      <c r="N263" s="35" t="s">
        <v>36</v>
      </c>
    </row>
    <row r="264" spans="1:14">
      <c r="A264" s="35">
        <v>218.67</v>
      </c>
      <c r="B264" s="35">
        <v>6.16</v>
      </c>
      <c r="C264" s="35">
        <v>35.4983766233766</v>
      </c>
      <c r="D264" s="35">
        <v>657</v>
      </c>
      <c r="E264" s="35">
        <v>3.0045273700096</v>
      </c>
      <c r="F264" s="35">
        <v>902</v>
      </c>
      <c r="G264" s="35">
        <v>45</v>
      </c>
      <c r="H264" s="35">
        <v>33973</v>
      </c>
      <c r="I264" s="38" t="s">
        <v>16</v>
      </c>
      <c r="J264" s="35">
        <v>830</v>
      </c>
      <c r="K264" s="35">
        <v>85.1</v>
      </c>
      <c r="L264" s="35">
        <v>4912</v>
      </c>
      <c r="M264" s="55">
        <v>0.640584246218049</v>
      </c>
      <c r="N264" s="35" t="s">
        <v>36</v>
      </c>
    </row>
    <row r="265" spans="1:14">
      <c r="A265" s="35">
        <v>219</v>
      </c>
      <c r="B265" s="35">
        <v>6.28</v>
      </c>
      <c r="C265" s="35">
        <v>34.8726114649682</v>
      </c>
      <c r="D265" s="35">
        <v>657</v>
      </c>
      <c r="E265" s="35">
        <v>3</v>
      </c>
      <c r="F265" s="35">
        <v>902</v>
      </c>
      <c r="G265" s="35">
        <v>45</v>
      </c>
      <c r="H265" s="35">
        <v>33973</v>
      </c>
      <c r="I265" s="38" t="s">
        <v>16</v>
      </c>
      <c r="J265" s="35">
        <v>830</v>
      </c>
      <c r="K265" s="35">
        <v>85.1</v>
      </c>
      <c r="L265" s="35">
        <v>4390.9</v>
      </c>
      <c r="M265" s="55">
        <v>0.58795409809724</v>
      </c>
      <c r="N265" s="35" t="s">
        <v>36</v>
      </c>
    </row>
    <row r="266" spans="1:14">
      <c r="A266" s="35">
        <v>220</v>
      </c>
      <c r="B266" s="35">
        <v>6.15</v>
      </c>
      <c r="C266" s="35">
        <v>35.7723577235772</v>
      </c>
      <c r="D266" s="35">
        <v>657</v>
      </c>
      <c r="E266" s="35">
        <v>2.98636363636364</v>
      </c>
      <c r="F266" s="35">
        <v>1006</v>
      </c>
      <c r="G266" s="35">
        <v>90</v>
      </c>
      <c r="H266" s="35">
        <v>77177</v>
      </c>
      <c r="I266" s="38" t="s">
        <v>16</v>
      </c>
      <c r="J266" s="35">
        <v>830</v>
      </c>
      <c r="K266" s="35">
        <v>85.1</v>
      </c>
      <c r="L266" s="35">
        <v>3851.8</v>
      </c>
      <c r="M266" s="55">
        <v>0.499980529342281</v>
      </c>
      <c r="N266" s="35" t="s">
        <v>36</v>
      </c>
    </row>
    <row r="267" spans="1:14">
      <c r="A267" s="35">
        <v>221</v>
      </c>
      <c r="B267" s="35">
        <v>5.85</v>
      </c>
      <c r="C267" s="35">
        <v>37.7777777777778</v>
      </c>
      <c r="D267" s="35">
        <v>657</v>
      </c>
      <c r="E267" s="35">
        <v>2.97285067873303</v>
      </c>
      <c r="F267" s="35">
        <v>1006</v>
      </c>
      <c r="G267" s="35">
        <v>90</v>
      </c>
      <c r="H267" s="35">
        <v>77177</v>
      </c>
      <c r="I267" s="38" t="s">
        <v>16</v>
      </c>
      <c r="J267" s="35">
        <v>830</v>
      </c>
      <c r="K267" s="35">
        <v>85.1</v>
      </c>
      <c r="L267" s="35">
        <v>3964.2</v>
      </c>
      <c r="M267" s="55">
        <v>0.51697965571205</v>
      </c>
      <c r="N267" s="35" t="s">
        <v>36</v>
      </c>
    </row>
    <row r="268" spans="1:14">
      <c r="A268" s="35">
        <v>218.67</v>
      </c>
      <c r="B268" s="35">
        <v>6.03</v>
      </c>
      <c r="C268" s="35">
        <v>36.2636815920398</v>
      </c>
      <c r="D268" s="35">
        <v>657</v>
      </c>
      <c r="E268" s="35">
        <v>3.0045273700096</v>
      </c>
      <c r="F268" s="35">
        <v>1006</v>
      </c>
      <c r="G268" s="35">
        <v>90</v>
      </c>
      <c r="H268" s="35">
        <v>77177</v>
      </c>
      <c r="I268" s="38" t="s">
        <v>16</v>
      </c>
      <c r="J268" s="35">
        <v>830</v>
      </c>
      <c r="K268" s="35">
        <v>85.1</v>
      </c>
      <c r="L268" s="35">
        <v>3902.1</v>
      </c>
      <c r="M268" s="55">
        <v>0.522502376775887</v>
      </c>
      <c r="N268" s="35" t="s">
        <v>36</v>
      </c>
    </row>
    <row r="269" spans="1:14">
      <c r="A269" s="32">
        <v>218</v>
      </c>
      <c r="B269" s="32">
        <v>8.32</v>
      </c>
      <c r="C269" s="32">
        <v>26.2019230769231</v>
      </c>
      <c r="D269" s="32">
        <v>657</v>
      </c>
      <c r="E269" s="32">
        <v>3.01376146788991</v>
      </c>
      <c r="F269" s="32">
        <v>20</v>
      </c>
      <c r="G269" s="31">
        <v>0</v>
      </c>
      <c r="H269" s="32">
        <v>0</v>
      </c>
      <c r="I269" s="33" t="s">
        <v>14</v>
      </c>
      <c r="J269" s="32">
        <v>596</v>
      </c>
      <c r="K269" s="32">
        <v>85.1</v>
      </c>
      <c r="L269" s="32">
        <v>8771.4</v>
      </c>
      <c r="M269" s="53">
        <v>1</v>
      </c>
      <c r="N269" s="35" t="s">
        <v>36</v>
      </c>
    </row>
    <row r="270" spans="1:14">
      <c r="A270" s="32">
        <v>217.5</v>
      </c>
      <c r="B270" s="32">
        <v>8.25</v>
      </c>
      <c r="C270" s="32">
        <v>26.3636363636364</v>
      </c>
      <c r="D270" s="32">
        <v>657</v>
      </c>
      <c r="E270" s="32">
        <v>3.02068965517241</v>
      </c>
      <c r="F270" s="32">
        <v>20</v>
      </c>
      <c r="G270" s="31">
        <v>0</v>
      </c>
      <c r="H270" s="32">
        <v>0</v>
      </c>
      <c r="I270" s="33" t="s">
        <v>14</v>
      </c>
      <c r="J270" s="32">
        <v>596</v>
      </c>
      <c r="K270" s="32">
        <v>85.1</v>
      </c>
      <c r="L270" s="32">
        <v>7821.2</v>
      </c>
      <c r="M270" s="53">
        <v>1</v>
      </c>
      <c r="N270" s="35" t="s">
        <v>36</v>
      </c>
    </row>
    <row r="271" spans="1:14">
      <c r="A271" s="32">
        <v>218.5</v>
      </c>
      <c r="B271" s="32">
        <v>8.47</v>
      </c>
      <c r="C271" s="32">
        <v>25.7969303423849</v>
      </c>
      <c r="D271" s="32">
        <v>657</v>
      </c>
      <c r="E271" s="32">
        <v>3.00686498855835</v>
      </c>
      <c r="F271" s="32">
        <v>20</v>
      </c>
      <c r="G271" s="31">
        <v>0</v>
      </c>
      <c r="H271" s="32">
        <v>0</v>
      </c>
      <c r="I271" s="33" t="s">
        <v>14</v>
      </c>
      <c r="J271" s="32">
        <v>596</v>
      </c>
      <c r="K271" s="32">
        <v>85.1</v>
      </c>
      <c r="L271" s="32">
        <v>7991.9</v>
      </c>
      <c r="M271" s="53">
        <v>1</v>
      </c>
      <c r="N271" s="35" t="s">
        <v>36</v>
      </c>
    </row>
    <row r="272" spans="1:14">
      <c r="A272" s="35">
        <v>217.67</v>
      </c>
      <c r="B272" s="35">
        <v>8.15</v>
      </c>
      <c r="C272" s="35">
        <v>26.7079754601227</v>
      </c>
      <c r="D272" s="35">
        <v>657</v>
      </c>
      <c r="E272" s="35">
        <v>3.01833050029862</v>
      </c>
      <c r="F272" s="35">
        <v>902</v>
      </c>
      <c r="G272" s="35">
        <v>45</v>
      </c>
      <c r="H272" s="35">
        <v>33973</v>
      </c>
      <c r="I272" s="38" t="s">
        <v>16</v>
      </c>
      <c r="J272" s="35">
        <v>596</v>
      </c>
      <c r="K272" s="35">
        <v>85.1</v>
      </c>
      <c r="L272" s="35">
        <v>5442</v>
      </c>
      <c r="M272" s="55">
        <v>0.620425473698611</v>
      </c>
      <c r="N272" s="35" t="s">
        <v>36</v>
      </c>
    </row>
    <row r="273" spans="1:14">
      <c r="A273" s="35">
        <v>218.33</v>
      </c>
      <c r="B273" s="35">
        <v>8.13</v>
      </c>
      <c r="C273" s="35">
        <v>26.8548585485855</v>
      </c>
      <c r="D273" s="35">
        <v>657</v>
      </c>
      <c r="E273" s="35">
        <v>3.00920624742362</v>
      </c>
      <c r="F273" s="35">
        <v>902</v>
      </c>
      <c r="G273" s="35">
        <v>45</v>
      </c>
      <c r="H273" s="35">
        <v>33973</v>
      </c>
      <c r="I273" s="38" t="s">
        <v>16</v>
      </c>
      <c r="J273" s="35">
        <v>596</v>
      </c>
      <c r="K273" s="35">
        <v>85.1</v>
      </c>
      <c r="L273" s="35">
        <v>5088</v>
      </c>
      <c r="M273" s="55">
        <v>0.650539559146934</v>
      </c>
      <c r="N273" s="35" t="s">
        <v>36</v>
      </c>
    </row>
    <row r="274" spans="1:14">
      <c r="A274" s="35">
        <v>218</v>
      </c>
      <c r="B274" s="35">
        <v>8.12</v>
      </c>
      <c r="C274" s="35">
        <v>26.8472906403941</v>
      </c>
      <c r="D274" s="35">
        <v>657</v>
      </c>
      <c r="E274" s="35">
        <v>3.01376146788991</v>
      </c>
      <c r="F274" s="35">
        <v>902</v>
      </c>
      <c r="G274" s="35">
        <v>45</v>
      </c>
      <c r="H274" s="35">
        <v>33973</v>
      </c>
      <c r="I274" s="38" t="s">
        <v>16</v>
      </c>
      <c r="J274" s="35">
        <v>596</v>
      </c>
      <c r="K274" s="35">
        <v>85.1</v>
      </c>
      <c r="L274" s="35">
        <v>5791.3</v>
      </c>
      <c r="M274" s="55">
        <v>0.724646204281835</v>
      </c>
      <c r="N274" s="35" t="s">
        <v>36</v>
      </c>
    </row>
    <row r="275" spans="1:14">
      <c r="A275" s="35">
        <v>218</v>
      </c>
      <c r="B275" s="35">
        <v>7.95</v>
      </c>
      <c r="C275" s="35">
        <v>27.4213836477987</v>
      </c>
      <c r="D275" s="35">
        <v>657</v>
      </c>
      <c r="E275" s="35">
        <v>3.01376146788991</v>
      </c>
      <c r="F275" s="35">
        <v>1006</v>
      </c>
      <c r="G275" s="35">
        <v>90</v>
      </c>
      <c r="H275" s="35">
        <v>77177</v>
      </c>
      <c r="I275" s="38" t="s">
        <v>16</v>
      </c>
      <c r="J275" s="35">
        <v>596</v>
      </c>
      <c r="K275" s="35">
        <v>85.1</v>
      </c>
      <c r="L275" s="35">
        <v>4191.4</v>
      </c>
      <c r="M275" s="55">
        <v>0.477848462047108</v>
      </c>
      <c r="N275" s="35" t="s">
        <v>36</v>
      </c>
    </row>
    <row r="276" spans="1:14">
      <c r="A276" s="35">
        <v>218</v>
      </c>
      <c r="B276" s="35">
        <v>7.75</v>
      </c>
      <c r="C276" s="35">
        <v>28.1290322580645</v>
      </c>
      <c r="D276" s="35">
        <v>657</v>
      </c>
      <c r="E276" s="35">
        <v>3.01376146788991</v>
      </c>
      <c r="F276" s="35">
        <v>1006</v>
      </c>
      <c r="G276" s="35">
        <v>90</v>
      </c>
      <c r="H276" s="35">
        <v>77177</v>
      </c>
      <c r="I276" s="38" t="s">
        <v>16</v>
      </c>
      <c r="J276" s="35">
        <v>596</v>
      </c>
      <c r="K276" s="35">
        <v>85.1</v>
      </c>
      <c r="L276" s="35">
        <v>4480.2</v>
      </c>
      <c r="M276" s="55">
        <v>0.572827699074311</v>
      </c>
      <c r="N276" s="35" t="s">
        <v>36</v>
      </c>
    </row>
    <row r="277" spans="1:14">
      <c r="A277" s="35">
        <v>219</v>
      </c>
      <c r="B277" s="35">
        <v>8.6</v>
      </c>
      <c r="C277" s="35">
        <v>25.4651162790698</v>
      </c>
      <c r="D277" s="35">
        <v>657</v>
      </c>
      <c r="E277" s="35">
        <v>3</v>
      </c>
      <c r="F277" s="35">
        <v>1006</v>
      </c>
      <c r="G277" s="35">
        <v>90</v>
      </c>
      <c r="H277" s="35">
        <v>77177</v>
      </c>
      <c r="I277" s="38" t="s">
        <v>16</v>
      </c>
      <c r="J277" s="35">
        <v>596</v>
      </c>
      <c r="K277" s="35">
        <v>85.1</v>
      </c>
      <c r="L277" s="35">
        <v>4354.6</v>
      </c>
      <c r="M277" s="55">
        <v>0.544876687646242</v>
      </c>
      <c r="N277" s="35" t="s">
        <v>36</v>
      </c>
    </row>
    <row r="278" spans="1:14">
      <c r="A278" s="64">
        <v>127.58</v>
      </c>
      <c r="B278" s="64">
        <v>2.9</v>
      </c>
      <c r="C278" s="64">
        <f t="array" ref="C278:C289">A278:A289/B278:B289</f>
        <v>43.9931034482759</v>
      </c>
      <c r="D278" s="64">
        <v>380.8</v>
      </c>
      <c r="E278" s="64">
        <f t="array" ref="E278:E289">D278:D289/A278:A289</f>
        <v>2.98479385483618</v>
      </c>
      <c r="F278" s="64">
        <v>20</v>
      </c>
      <c r="G278" s="65">
        <v>0</v>
      </c>
      <c r="H278" s="64">
        <v>0</v>
      </c>
      <c r="I278" s="66" t="s">
        <v>14</v>
      </c>
      <c r="J278" s="64">
        <v>298.1</v>
      </c>
      <c r="K278" s="64">
        <v>48.2</v>
      </c>
      <c r="L278" s="64">
        <v>1095.1</v>
      </c>
      <c r="M278" s="67">
        <v>1</v>
      </c>
      <c r="N278" s="68" t="s">
        <v>37</v>
      </c>
    </row>
    <row r="279" spans="1:14">
      <c r="A279" s="68">
        <v>127.64</v>
      </c>
      <c r="B279" s="68">
        <v>2.84</v>
      </c>
      <c r="C279" s="68">
        <v>44.943661971831</v>
      </c>
      <c r="D279" s="68">
        <v>381.2</v>
      </c>
      <c r="E279" s="68">
        <v>2.98652460043873</v>
      </c>
      <c r="F279" s="68">
        <v>650</v>
      </c>
      <c r="G279" s="68">
        <v>15</v>
      </c>
      <c r="H279" s="68">
        <v>6200</v>
      </c>
      <c r="I279" s="70" t="s">
        <v>16</v>
      </c>
      <c r="J279" s="68">
        <v>298.1</v>
      </c>
      <c r="K279" s="68">
        <v>48.2</v>
      </c>
      <c r="L279" s="68">
        <v>1203.3</v>
      </c>
      <c r="M279" s="71">
        <v>1.0988037622135</v>
      </c>
      <c r="N279" s="68" t="s">
        <v>37</v>
      </c>
    </row>
    <row r="280" spans="1:14">
      <c r="A280" s="68">
        <v>127.5</v>
      </c>
      <c r="B280" s="68">
        <v>2.98</v>
      </c>
      <c r="C280" s="68">
        <v>42.7852348993289</v>
      </c>
      <c r="D280" s="68">
        <v>383</v>
      </c>
      <c r="E280" s="68">
        <v>3.00392156862745</v>
      </c>
      <c r="F280" s="68">
        <v>790</v>
      </c>
      <c r="G280" s="68">
        <v>30</v>
      </c>
      <c r="H280" s="68">
        <v>19100</v>
      </c>
      <c r="I280" s="70" t="s">
        <v>16</v>
      </c>
      <c r="J280" s="68">
        <v>298.1</v>
      </c>
      <c r="K280" s="68">
        <v>48.2</v>
      </c>
      <c r="L280" s="68">
        <v>1174.6</v>
      </c>
      <c r="M280" s="71">
        <v>1.0725961099443</v>
      </c>
      <c r="N280" s="68" t="s">
        <v>37</v>
      </c>
    </row>
    <row r="281" spans="1:14">
      <c r="A281" s="68">
        <v>127.64</v>
      </c>
      <c r="B281" s="68">
        <v>2.8</v>
      </c>
      <c r="C281" s="68">
        <v>45.5857142857143</v>
      </c>
      <c r="D281" s="68">
        <v>381.3</v>
      </c>
      <c r="E281" s="68">
        <v>2.9873080539016</v>
      </c>
      <c r="F281" s="68">
        <v>830</v>
      </c>
      <c r="G281" s="68">
        <v>45</v>
      </c>
      <c r="H281" s="68">
        <v>25500</v>
      </c>
      <c r="I281" s="70" t="s">
        <v>16</v>
      </c>
      <c r="J281" s="68">
        <v>298.1</v>
      </c>
      <c r="K281" s="68">
        <v>48.2</v>
      </c>
      <c r="L281" s="68">
        <v>946.8</v>
      </c>
      <c r="M281" s="71">
        <v>0.864578577298877</v>
      </c>
      <c r="N281" s="68" t="s">
        <v>37</v>
      </c>
    </row>
    <row r="282" spans="1:14">
      <c r="A282" s="64">
        <v>127.07</v>
      </c>
      <c r="B282" s="64">
        <v>2.92</v>
      </c>
      <c r="C282" s="64">
        <v>43.5171232876712</v>
      </c>
      <c r="D282" s="64">
        <v>380.7</v>
      </c>
      <c r="E282" s="64">
        <v>2.99598646415362</v>
      </c>
      <c r="F282" s="64">
        <v>20</v>
      </c>
      <c r="G282" s="65">
        <v>0</v>
      </c>
      <c r="H282" s="64">
        <v>0</v>
      </c>
      <c r="I282" s="66" t="s">
        <v>14</v>
      </c>
      <c r="J282" s="64">
        <v>298.1</v>
      </c>
      <c r="K282" s="64">
        <v>42.5</v>
      </c>
      <c r="L282" s="64">
        <v>1020.8</v>
      </c>
      <c r="M282" s="67">
        <v>1</v>
      </c>
      <c r="N282" s="68" t="s">
        <v>37</v>
      </c>
    </row>
    <row r="283" spans="1:14">
      <c r="A283" s="68">
        <v>127.5</v>
      </c>
      <c r="B283" s="68">
        <v>2.83</v>
      </c>
      <c r="C283" s="68">
        <v>45.0530035335689</v>
      </c>
      <c r="D283" s="68">
        <v>382.4</v>
      </c>
      <c r="E283" s="68">
        <v>2.99921568627451</v>
      </c>
      <c r="F283" s="68">
        <v>650</v>
      </c>
      <c r="G283" s="68">
        <v>15</v>
      </c>
      <c r="H283" s="68">
        <v>6200</v>
      </c>
      <c r="I283" s="70" t="s">
        <v>16</v>
      </c>
      <c r="J283" s="68">
        <v>298.1</v>
      </c>
      <c r="K283" s="68">
        <v>42.5</v>
      </c>
      <c r="L283" s="68">
        <v>1128.7</v>
      </c>
      <c r="M283" s="71">
        <v>1.10570141065831</v>
      </c>
      <c r="N283" s="68" t="s">
        <v>37</v>
      </c>
    </row>
    <row r="284" spans="1:14">
      <c r="A284" s="68">
        <v>127.54</v>
      </c>
      <c r="B284" s="68">
        <v>3</v>
      </c>
      <c r="C284" s="68">
        <v>42.5133333333333</v>
      </c>
      <c r="D284" s="68">
        <v>381.6</v>
      </c>
      <c r="E284" s="68">
        <v>2.99200250901678</v>
      </c>
      <c r="F284" s="68">
        <v>790</v>
      </c>
      <c r="G284" s="68">
        <v>30</v>
      </c>
      <c r="H284" s="68">
        <v>19100</v>
      </c>
      <c r="I284" s="70" t="s">
        <v>16</v>
      </c>
      <c r="J284" s="68">
        <v>298.1</v>
      </c>
      <c r="K284" s="68">
        <v>42.5</v>
      </c>
      <c r="L284" s="68">
        <v>1046.8</v>
      </c>
      <c r="M284" s="71">
        <v>1.02547021943574</v>
      </c>
      <c r="N284" s="68" t="s">
        <v>37</v>
      </c>
    </row>
    <row r="285" spans="1:14">
      <c r="A285" s="68">
        <v>127.44</v>
      </c>
      <c r="B285" s="68">
        <v>2.99</v>
      </c>
      <c r="C285" s="68">
        <v>42.6220735785953</v>
      </c>
      <c r="D285" s="68">
        <v>382.2</v>
      </c>
      <c r="E285" s="68">
        <v>2.99905838041431</v>
      </c>
      <c r="F285" s="68">
        <v>830</v>
      </c>
      <c r="G285" s="68">
        <v>45</v>
      </c>
      <c r="H285" s="68">
        <v>25500</v>
      </c>
      <c r="I285" s="70" t="s">
        <v>16</v>
      </c>
      <c r="J285" s="68">
        <v>298.1</v>
      </c>
      <c r="K285" s="68">
        <v>42.5</v>
      </c>
      <c r="L285" s="68">
        <v>907.7</v>
      </c>
      <c r="M285" s="71">
        <v>0.889204545454546</v>
      </c>
      <c r="N285" s="68" t="s">
        <v>37</v>
      </c>
    </row>
    <row r="286" spans="1:14">
      <c r="A286" s="64">
        <v>127.75</v>
      </c>
      <c r="B286" s="64">
        <v>3</v>
      </c>
      <c r="C286" s="64">
        <v>42.5833333333333</v>
      </c>
      <c r="D286" s="64">
        <v>380.9</v>
      </c>
      <c r="E286" s="64">
        <v>2.98160469667319</v>
      </c>
      <c r="F286" s="64">
        <v>20</v>
      </c>
      <c r="G286" s="65">
        <v>0</v>
      </c>
      <c r="H286" s="64">
        <v>0</v>
      </c>
      <c r="I286" s="66" t="s">
        <v>14</v>
      </c>
      <c r="J286" s="64">
        <v>298.1</v>
      </c>
      <c r="K286" s="64">
        <v>34.7</v>
      </c>
      <c r="L286" s="64">
        <v>984.2</v>
      </c>
      <c r="M286" s="67">
        <v>1</v>
      </c>
      <c r="N286" s="68" t="s">
        <v>37</v>
      </c>
    </row>
    <row r="287" spans="1:14">
      <c r="A287" s="68">
        <v>127.41</v>
      </c>
      <c r="B287" s="68">
        <v>2.83</v>
      </c>
      <c r="C287" s="68">
        <v>45.0212014134276</v>
      </c>
      <c r="D287" s="68">
        <v>383.3</v>
      </c>
      <c r="E287" s="68">
        <v>3.00839808492269</v>
      </c>
      <c r="F287" s="68">
        <v>650</v>
      </c>
      <c r="G287" s="68">
        <v>15</v>
      </c>
      <c r="H287" s="68">
        <v>6200</v>
      </c>
      <c r="I287" s="70" t="s">
        <v>16</v>
      </c>
      <c r="J287" s="68">
        <v>298.1</v>
      </c>
      <c r="K287" s="68">
        <v>34.7</v>
      </c>
      <c r="L287" s="68">
        <v>1080.5</v>
      </c>
      <c r="M287" s="71">
        <v>1.09784596626702</v>
      </c>
      <c r="N287" s="68" t="s">
        <v>37</v>
      </c>
    </row>
    <row r="288" spans="1:14">
      <c r="A288" s="68">
        <v>127.45</v>
      </c>
      <c r="B288" s="68">
        <v>3.11</v>
      </c>
      <c r="C288" s="68">
        <v>40.9807073954984</v>
      </c>
      <c r="D288" s="68">
        <v>380.5</v>
      </c>
      <c r="E288" s="68">
        <v>2.98548450372695</v>
      </c>
      <c r="F288" s="68">
        <v>790</v>
      </c>
      <c r="G288" s="68">
        <v>30</v>
      </c>
      <c r="H288" s="68">
        <v>19100</v>
      </c>
      <c r="I288" s="70" t="s">
        <v>16</v>
      </c>
      <c r="J288" s="68">
        <v>298.1</v>
      </c>
      <c r="K288" s="68">
        <v>34.7</v>
      </c>
      <c r="L288" s="68">
        <v>987.7</v>
      </c>
      <c r="M288" s="71">
        <v>1.00355618776671</v>
      </c>
      <c r="N288" s="68" t="s">
        <v>37</v>
      </c>
    </row>
    <row r="289" spans="1:14">
      <c r="A289" s="68">
        <v>127.48</v>
      </c>
      <c r="B289" s="68">
        <v>3.1</v>
      </c>
      <c r="C289" s="68">
        <v>41.1225806451613</v>
      </c>
      <c r="D289" s="68">
        <v>381.7</v>
      </c>
      <c r="E289" s="68">
        <v>2.99419516786947</v>
      </c>
      <c r="F289" s="68">
        <v>830</v>
      </c>
      <c r="G289" s="68">
        <v>45</v>
      </c>
      <c r="H289" s="68">
        <v>25500</v>
      </c>
      <c r="I289" s="70" t="s">
        <v>16</v>
      </c>
      <c r="J289" s="68">
        <v>298.1</v>
      </c>
      <c r="K289" s="68">
        <v>34.7</v>
      </c>
      <c r="L289" s="68">
        <v>838.4</v>
      </c>
      <c r="M289" s="71">
        <v>0.851859378175168</v>
      </c>
      <c r="N289" s="68" t="s">
        <v>37</v>
      </c>
    </row>
    <row r="290" spans="1:14">
      <c r="A290" s="56">
        <v>72.8</v>
      </c>
      <c r="B290" s="56">
        <v>2.81</v>
      </c>
      <c r="C290" s="56">
        <f t="shared" ref="C290:C353" si="3">A290/B290</f>
        <v>25.9074733096085</v>
      </c>
      <c r="D290" s="56">
        <v>216</v>
      </c>
      <c r="E290" s="56">
        <f t="shared" ref="E290:E353" si="4">D290/A290</f>
        <v>2.96703296703297</v>
      </c>
      <c r="F290" s="56">
        <v>20</v>
      </c>
      <c r="G290" s="57">
        <v>0</v>
      </c>
      <c r="H290" s="56">
        <v>0</v>
      </c>
      <c r="I290" s="58" t="s">
        <v>14</v>
      </c>
      <c r="J290" s="56">
        <v>296</v>
      </c>
      <c r="K290" s="56">
        <v>93.8</v>
      </c>
      <c r="L290" s="56">
        <v>561</v>
      </c>
      <c r="M290" s="59">
        <v>1</v>
      </c>
      <c r="N290" s="60" t="s">
        <v>38</v>
      </c>
    </row>
    <row r="291" ht="28.8" customHeight="1" spans="1:14">
      <c r="A291" s="60">
        <v>73.1</v>
      </c>
      <c r="B291" s="60">
        <v>2.79</v>
      </c>
      <c r="C291" s="60">
        <f t="shared" si="3"/>
        <v>26.2007168458781</v>
      </c>
      <c r="D291" s="60">
        <v>215</v>
      </c>
      <c r="E291" s="60">
        <f t="shared" si="4"/>
        <v>2.94117647058824</v>
      </c>
      <c r="F291" s="60">
        <v>739</v>
      </c>
      <c r="G291" s="60">
        <v>15</v>
      </c>
      <c r="H291" s="60">
        <v>8921</v>
      </c>
      <c r="I291" s="82" t="s">
        <v>16</v>
      </c>
      <c r="J291" s="60">
        <v>296</v>
      </c>
      <c r="K291" s="60">
        <v>93.8</v>
      </c>
      <c r="L291" s="60">
        <v>554</v>
      </c>
      <c r="M291" s="63">
        <v>0.987522281639929</v>
      </c>
      <c r="N291" s="60" t="s">
        <v>38</v>
      </c>
    </row>
    <row r="292" ht="28.8" customHeight="1" spans="1:14">
      <c r="A292" s="60">
        <v>73.1</v>
      </c>
      <c r="B292" s="60">
        <v>2.83</v>
      </c>
      <c r="C292" s="60">
        <f t="shared" si="3"/>
        <v>25.8303886925795</v>
      </c>
      <c r="D292" s="60">
        <v>216</v>
      </c>
      <c r="E292" s="60">
        <f t="shared" si="4"/>
        <v>2.95485636114911</v>
      </c>
      <c r="F292" s="60">
        <v>842</v>
      </c>
      <c r="G292" s="60">
        <v>30</v>
      </c>
      <c r="H292" s="60">
        <v>20862</v>
      </c>
      <c r="I292" s="82" t="s">
        <v>16</v>
      </c>
      <c r="J292" s="60">
        <v>296</v>
      </c>
      <c r="K292" s="60">
        <v>93.8</v>
      </c>
      <c r="L292" s="60">
        <v>596</v>
      </c>
      <c r="M292" s="63">
        <v>1.06238859180036</v>
      </c>
      <c r="N292" s="60" t="s">
        <v>38</v>
      </c>
    </row>
    <row r="293" ht="28.8" customHeight="1" spans="1:14">
      <c r="A293" s="60">
        <v>72.7</v>
      </c>
      <c r="B293" s="60">
        <v>2.83</v>
      </c>
      <c r="C293" s="60">
        <f t="shared" si="3"/>
        <v>25.6890459363958</v>
      </c>
      <c r="D293" s="60">
        <v>215</v>
      </c>
      <c r="E293" s="60">
        <f t="shared" si="4"/>
        <v>2.95735900962861</v>
      </c>
      <c r="F293" s="60">
        <v>902</v>
      </c>
      <c r="G293" s="60">
        <v>45</v>
      </c>
      <c r="H293" s="60">
        <v>33973</v>
      </c>
      <c r="I293" s="82" t="s">
        <v>16</v>
      </c>
      <c r="J293" s="60">
        <v>296</v>
      </c>
      <c r="K293" s="60">
        <v>93.8</v>
      </c>
      <c r="L293" s="60">
        <v>485</v>
      </c>
      <c r="M293" s="63">
        <v>0.864527629233512</v>
      </c>
      <c r="N293" s="60" t="s">
        <v>38</v>
      </c>
    </row>
    <row r="294" spans="1:14">
      <c r="A294" s="56">
        <v>72.8</v>
      </c>
      <c r="B294" s="56">
        <v>2.8</v>
      </c>
      <c r="C294" s="56">
        <f t="shared" si="3"/>
        <v>26</v>
      </c>
      <c r="D294" s="56">
        <v>217</v>
      </c>
      <c r="E294" s="56">
        <f t="shared" si="4"/>
        <v>2.98076923076923</v>
      </c>
      <c r="F294" s="56">
        <v>20</v>
      </c>
      <c r="G294" s="57">
        <v>0</v>
      </c>
      <c r="H294" s="56">
        <v>0</v>
      </c>
      <c r="I294" s="58" t="s">
        <v>14</v>
      </c>
      <c r="J294" s="56">
        <v>296</v>
      </c>
      <c r="K294" s="56">
        <v>144.4</v>
      </c>
      <c r="L294" s="56">
        <v>739</v>
      </c>
      <c r="M294" s="59">
        <v>1</v>
      </c>
      <c r="N294" s="60" t="s">
        <v>38</v>
      </c>
    </row>
    <row r="295" ht="28.8" customHeight="1" spans="1:14">
      <c r="A295" s="60">
        <v>72.7</v>
      </c>
      <c r="B295" s="60">
        <v>2.8</v>
      </c>
      <c r="C295" s="60">
        <f t="shared" si="3"/>
        <v>25.9642857142857</v>
      </c>
      <c r="D295" s="60">
        <v>216</v>
      </c>
      <c r="E295" s="60">
        <f t="shared" si="4"/>
        <v>2.97111416781293</v>
      </c>
      <c r="F295" s="60">
        <v>739</v>
      </c>
      <c r="G295" s="60">
        <v>15</v>
      </c>
      <c r="H295" s="60">
        <v>8921</v>
      </c>
      <c r="I295" s="82" t="s">
        <v>16</v>
      </c>
      <c r="J295" s="60">
        <v>296</v>
      </c>
      <c r="K295" s="60">
        <v>144.4</v>
      </c>
      <c r="L295" s="60">
        <v>792</v>
      </c>
      <c r="M295" s="63">
        <v>1.07171853856563</v>
      </c>
      <c r="N295" s="60" t="s">
        <v>38</v>
      </c>
    </row>
    <row r="296" ht="28.8" customHeight="1" spans="1:14">
      <c r="A296" s="60">
        <v>72.8</v>
      </c>
      <c r="B296" s="60">
        <v>2.8</v>
      </c>
      <c r="C296" s="60">
        <f t="shared" si="3"/>
        <v>26</v>
      </c>
      <c r="D296" s="60">
        <v>221</v>
      </c>
      <c r="E296" s="60">
        <f t="shared" si="4"/>
        <v>3.03571428571429</v>
      </c>
      <c r="F296" s="60">
        <v>842</v>
      </c>
      <c r="G296" s="60">
        <v>30</v>
      </c>
      <c r="H296" s="60">
        <v>20862</v>
      </c>
      <c r="I296" s="82" t="s">
        <v>16</v>
      </c>
      <c r="J296" s="60">
        <v>296</v>
      </c>
      <c r="K296" s="60">
        <v>144.4</v>
      </c>
      <c r="L296" s="60">
        <v>624</v>
      </c>
      <c r="M296" s="63">
        <v>0.844384303112314</v>
      </c>
      <c r="N296" s="60" t="s">
        <v>38</v>
      </c>
    </row>
    <row r="297" ht="28.8" customHeight="1" spans="1:14">
      <c r="A297" s="60">
        <v>72.6</v>
      </c>
      <c r="B297" s="60">
        <v>2.82</v>
      </c>
      <c r="C297" s="60">
        <f t="shared" si="3"/>
        <v>25.7446808510638</v>
      </c>
      <c r="D297" s="60">
        <v>216</v>
      </c>
      <c r="E297" s="60">
        <f t="shared" si="4"/>
        <v>2.97520661157025</v>
      </c>
      <c r="F297" s="60">
        <v>902</v>
      </c>
      <c r="G297" s="60">
        <v>45</v>
      </c>
      <c r="H297" s="60">
        <v>33973</v>
      </c>
      <c r="I297" s="82" t="s">
        <v>16</v>
      </c>
      <c r="J297" s="60">
        <v>296</v>
      </c>
      <c r="K297" s="60">
        <v>144.4</v>
      </c>
      <c r="L297" s="60">
        <v>501</v>
      </c>
      <c r="M297" s="63">
        <v>0.677943166441137</v>
      </c>
      <c r="N297" s="60" t="s">
        <v>38</v>
      </c>
    </row>
    <row r="298" spans="1:14">
      <c r="A298" s="56">
        <v>89.3</v>
      </c>
      <c r="B298" s="56">
        <v>2.82</v>
      </c>
      <c r="C298" s="56">
        <f t="shared" si="3"/>
        <v>31.6666666666667</v>
      </c>
      <c r="D298" s="56">
        <v>267</v>
      </c>
      <c r="E298" s="56">
        <f t="shared" si="4"/>
        <v>2.98992161254199</v>
      </c>
      <c r="F298" s="56">
        <v>20</v>
      </c>
      <c r="G298" s="57">
        <v>0</v>
      </c>
      <c r="H298" s="56">
        <v>0</v>
      </c>
      <c r="I298" s="58" t="s">
        <v>14</v>
      </c>
      <c r="J298" s="56">
        <v>292</v>
      </c>
      <c r="K298" s="56">
        <v>93.8</v>
      </c>
      <c r="L298" s="56">
        <v>924</v>
      </c>
      <c r="M298" s="59">
        <v>1</v>
      </c>
      <c r="N298" s="60" t="s">
        <v>38</v>
      </c>
    </row>
    <row r="299" ht="28.8" customHeight="1" spans="1:14">
      <c r="A299" s="60">
        <v>88.9</v>
      </c>
      <c r="B299" s="60">
        <v>2.83</v>
      </c>
      <c r="C299" s="60">
        <f t="shared" si="3"/>
        <v>31.4134275618375</v>
      </c>
      <c r="D299" s="60">
        <v>270</v>
      </c>
      <c r="E299" s="60">
        <f t="shared" si="4"/>
        <v>3.03712035995501</v>
      </c>
      <c r="F299" s="60">
        <v>739</v>
      </c>
      <c r="G299" s="60">
        <v>15</v>
      </c>
      <c r="H299" s="60">
        <v>8921</v>
      </c>
      <c r="I299" s="82" t="s">
        <v>16</v>
      </c>
      <c r="J299" s="60">
        <v>292</v>
      </c>
      <c r="K299" s="60">
        <v>93.8</v>
      </c>
      <c r="L299" s="60">
        <v>836</v>
      </c>
      <c r="M299" s="63">
        <v>0.904761904761905</v>
      </c>
      <c r="N299" s="60" t="s">
        <v>38</v>
      </c>
    </row>
    <row r="300" ht="28.8" customHeight="1" spans="1:14">
      <c r="A300" s="60">
        <v>88.6</v>
      </c>
      <c r="B300" s="60">
        <v>2.79</v>
      </c>
      <c r="C300" s="60">
        <f t="shared" si="3"/>
        <v>31.7562724014337</v>
      </c>
      <c r="D300" s="60">
        <v>268</v>
      </c>
      <c r="E300" s="60">
        <f t="shared" si="4"/>
        <v>3.02483069977427</v>
      </c>
      <c r="F300" s="60">
        <v>842</v>
      </c>
      <c r="G300" s="60">
        <v>30</v>
      </c>
      <c r="H300" s="60">
        <v>20862</v>
      </c>
      <c r="I300" s="82" t="s">
        <v>16</v>
      </c>
      <c r="J300" s="60">
        <v>292</v>
      </c>
      <c r="K300" s="60">
        <v>93.8</v>
      </c>
      <c r="L300" s="60">
        <v>763</v>
      </c>
      <c r="M300" s="63">
        <v>0.825757575757576</v>
      </c>
      <c r="N300" s="60" t="s">
        <v>38</v>
      </c>
    </row>
    <row r="301" ht="28.8" customHeight="1" spans="1:14">
      <c r="A301" s="60">
        <v>88.9</v>
      </c>
      <c r="B301" s="60">
        <v>2.79</v>
      </c>
      <c r="C301" s="60">
        <f t="shared" si="3"/>
        <v>31.8637992831541</v>
      </c>
      <c r="D301" s="60">
        <v>266</v>
      </c>
      <c r="E301" s="60">
        <f t="shared" si="4"/>
        <v>2.99212598425197</v>
      </c>
      <c r="F301" s="60">
        <v>902</v>
      </c>
      <c r="G301" s="60">
        <v>45</v>
      </c>
      <c r="H301" s="60">
        <v>33973</v>
      </c>
      <c r="I301" s="82" t="s">
        <v>16</v>
      </c>
      <c r="J301" s="60">
        <v>292</v>
      </c>
      <c r="K301" s="60">
        <v>93.8</v>
      </c>
      <c r="L301" s="60">
        <v>656</v>
      </c>
      <c r="M301" s="63">
        <v>0.70995670995671</v>
      </c>
      <c r="N301" s="60" t="s">
        <v>38</v>
      </c>
    </row>
    <row r="302" spans="1:14">
      <c r="A302" s="56">
        <v>89.3</v>
      </c>
      <c r="B302" s="56">
        <v>2.83</v>
      </c>
      <c r="C302" s="56">
        <f t="shared" si="3"/>
        <v>31.5547703180212</v>
      </c>
      <c r="D302" s="56">
        <v>267</v>
      </c>
      <c r="E302" s="56">
        <f t="shared" si="4"/>
        <v>2.98992161254199</v>
      </c>
      <c r="F302" s="56">
        <v>20</v>
      </c>
      <c r="G302" s="57">
        <v>0</v>
      </c>
      <c r="H302" s="56">
        <v>0</v>
      </c>
      <c r="I302" s="58" t="s">
        <v>14</v>
      </c>
      <c r="J302" s="56">
        <v>292</v>
      </c>
      <c r="K302" s="56">
        <v>144.4</v>
      </c>
      <c r="L302" s="56">
        <v>1072</v>
      </c>
      <c r="M302" s="59">
        <v>1</v>
      </c>
      <c r="N302" s="60" t="s">
        <v>38</v>
      </c>
    </row>
    <row r="303" ht="28.8" customHeight="1" spans="1:14">
      <c r="A303" s="60">
        <v>88.9</v>
      </c>
      <c r="B303" s="60">
        <v>2.82</v>
      </c>
      <c r="C303" s="60">
        <f t="shared" si="3"/>
        <v>31.5248226950355</v>
      </c>
      <c r="D303" s="60">
        <v>270</v>
      </c>
      <c r="E303" s="60">
        <f t="shared" si="4"/>
        <v>3.03712035995501</v>
      </c>
      <c r="F303" s="60">
        <v>739</v>
      </c>
      <c r="G303" s="60">
        <v>15</v>
      </c>
      <c r="H303" s="60">
        <v>8921</v>
      </c>
      <c r="I303" s="82" t="s">
        <v>16</v>
      </c>
      <c r="J303" s="60">
        <v>292</v>
      </c>
      <c r="K303" s="60">
        <v>144.4</v>
      </c>
      <c r="L303" s="60">
        <v>816</v>
      </c>
      <c r="M303" s="63">
        <v>0.761194029850746</v>
      </c>
      <c r="N303" s="60" t="s">
        <v>38</v>
      </c>
    </row>
    <row r="304" ht="28.8" customHeight="1" spans="1:14">
      <c r="A304" s="60">
        <v>89.3</v>
      </c>
      <c r="B304" s="60">
        <v>2.84</v>
      </c>
      <c r="C304" s="60">
        <f t="shared" si="3"/>
        <v>31.443661971831</v>
      </c>
      <c r="D304" s="60">
        <v>268</v>
      </c>
      <c r="E304" s="60">
        <f t="shared" si="4"/>
        <v>3.00111982082867</v>
      </c>
      <c r="F304" s="60">
        <v>842</v>
      </c>
      <c r="G304" s="60">
        <v>30</v>
      </c>
      <c r="H304" s="60">
        <v>20862</v>
      </c>
      <c r="I304" s="82" t="s">
        <v>16</v>
      </c>
      <c r="J304" s="60">
        <v>292</v>
      </c>
      <c r="K304" s="60">
        <v>144.4</v>
      </c>
      <c r="L304" s="60">
        <v>777</v>
      </c>
      <c r="M304" s="63">
        <v>0.724813432835821</v>
      </c>
      <c r="N304" s="60" t="s">
        <v>38</v>
      </c>
    </row>
    <row r="305" ht="28.8" customHeight="1" spans="1:14">
      <c r="A305" s="60">
        <v>88.9</v>
      </c>
      <c r="B305" s="60">
        <v>2.77</v>
      </c>
      <c r="C305" s="60">
        <f t="shared" si="3"/>
        <v>32.0938628158845</v>
      </c>
      <c r="D305" s="60">
        <v>268</v>
      </c>
      <c r="E305" s="60">
        <f t="shared" si="4"/>
        <v>3.01462317210349</v>
      </c>
      <c r="F305" s="60">
        <v>902</v>
      </c>
      <c r="G305" s="60">
        <v>45</v>
      </c>
      <c r="H305" s="60">
        <v>33973</v>
      </c>
      <c r="I305" s="82" t="s">
        <v>16</v>
      </c>
      <c r="J305" s="60">
        <v>292</v>
      </c>
      <c r="K305" s="60">
        <v>144.4</v>
      </c>
      <c r="L305" s="60">
        <v>641</v>
      </c>
      <c r="M305" s="63">
        <v>0.59794776119403</v>
      </c>
      <c r="N305" s="60" t="s">
        <v>38</v>
      </c>
    </row>
    <row r="306" spans="1:14">
      <c r="A306" s="42">
        <v>219.26</v>
      </c>
      <c r="B306" s="42">
        <v>8.19</v>
      </c>
      <c r="C306" s="42">
        <f t="shared" si="3"/>
        <v>26.7716727716728</v>
      </c>
      <c r="D306" s="42">
        <v>1990</v>
      </c>
      <c r="E306" s="42">
        <f t="shared" si="4"/>
        <v>9.07598285140929</v>
      </c>
      <c r="F306" s="42">
        <v>20</v>
      </c>
      <c r="G306" s="41">
        <v>0</v>
      </c>
      <c r="H306" s="42">
        <v>0</v>
      </c>
      <c r="I306" s="43" t="s">
        <v>14</v>
      </c>
      <c r="J306" s="42">
        <v>596</v>
      </c>
      <c r="K306" s="42">
        <v>81.5</v>
      </c>
      <c r="L306" s="42">
        <v>7194.7</v>
      </c>
      <c r="M306" s="72">
        <v>1</v>
      </c>
      <c r="N306" s="45" t="s">
        <v>39</v>
      </c>
    </row>
    <row r="307" ht="43.2" customHeight="1" spans="1:14">
      <c r="A307" s="45">
        <v>219.41</v>
      </c>
      <c r="B307" s="45">
        <v>7.88</v>
      </c>
      <c r="C307" s="45">
        <f t="shared" si="3"/>
        <v>27.8439086294416</v>
      </c>
      <c r="D307" s="45">
        <v>1990</v>
      </c>
      <c r="E307" s="45">
        <f t="shared" si="4"/>
        <v>9.06977804111025</v>
      </c>
      <c r="F307" s="45">
        <v>902</v>
      </c>
      <c r="G307" s="45">
        <v>45</v>
      </c>
      <c r="H307" s="45">
        <v>33973</v>
      </c>
      <c r="I307" s="48" t="s">
        <v>16</v>
      </c>
      <c r="J307" s="45">
        <v>596</v>
      </c>
      <c r="K307" s="45">
        <v>81.5</v>
      </c>
      <c r="L307" s="45">
        <v>5217.7</v>
      </c>
      <c r="M307" s="74">
        <v>0.725214393928864</v>
      </c>
      <c r="N307" s="45" t="s">
        <v>39</v>
      </c>
    </row>
    <row r="308" ht="43.2" customHeight="1" spans="1:14">
      <c r="A308" s="45">
        <v>218.92</v>
      </c>
      <c r="B308" s="45">
        <v>8.16</v>
      </c>
      <c r="C308" s="45">
        <f t="shared" si="3"/>
        <v>26.828431372549</v>
      </c>
      <c r="D308" s="45">
        <v>1990</v>
      </c>
      <c r="E308" s="45">
        <f t="shared" si="4"/>
        <v>9.09007856751325</v>
      </c>
      <c r="F308" s="45">
        <v>1006</v>
      </c>
      <c r="G308" s="45">
        <v>90</v>
      </c>
      <c r="H308" s="45">
        <v>77177</v>
      </c>
      <c r="I308" s="48" t="s">
        <v>16</v>
      </c>
      <c r="J308" s="45">
        <v>596</v>
      </c>
      <c r="K308" s="45">
        <v>81.5</v>
      </c>
      <c r="L308" s="45">
        <v>3998.6</v>
      </c>
      <c r="M308" s="74">
        <v>0.55577021974509</v>
      </c>
      <c r="N308" s="45" t="s">
        <v>39</v>
      </c>
    </row>
    <row r="309" spans="1:14">
      <c r="A309" s="42">
        <v>219.11</v>
      </c>
      <c r="B309" s="42">
        <v>8.06</v>
      </c>
      <c r="C309" s="42">
        <f t="shared" si="3"/>
        <v>27.1848635235732</v>
      </c>
      <c r="D309" s="42">
        <v>2650</v>
      </c>
      <c r="E309" s="42">
        <f t="shared" si="4"/>
        <v>12.094381817352</v>
      </c>
      <c r="F309" s="42">
        <v>20</v>
      </c>
      <c r="G309" s="41">
        <v>0</v>
      </c>
      <c r="H309" s="42">
        <v>0</v>
      </c>
      <c r="I309" s="43" t="s">
        <v>14</v>
      </c>
      <c r="J309" s="42">
        <v>596</v>
      </c>
      <c r="K309" s="42">
        <v>81.5</v>
      </c>
      <c r="L309" s="42">
        <v>6603.1</v>
      </c>
      <c r="M309" s="72">
        <v>1</v>
      </c>
      <c r="N309" s="45" t="s">
        <v>39</v>
      </c>
    </row>
    <row r="310" ht="43.2" customHeight="1" spans="1:14">
      <c r="A310" s="45">
        <v>218.75</v>
      </c>
      <c r="B310" s="45">
        <v>8.32</v>
      </c>
      <c r="C310" s="45">
        <f t="shared" si="3"/>
        <v>26.2920673076923</v>
      </c>
      <c r="D310" s="45">
        <v>2650</v>
      </c>
      <c r="E310" s="45">
        <f t="shared" si="4"/>
        <v>12.1142857142857</v>
      </c>
      <c r="F310" s="45">
        <v>902</v>
      </c>
      <c r="G310" s="45">
        <v>45</v>
      </c>
      <c r="H310" s="45">
        <v>33973</v>
      </c>
      <c r="I310" s="48" t="s">
        <v>16</v>
      </c>
      <c r="J310" s="45">
        <v>596</v>
      </c>
      <c r="K310" s="45">
        <v>81.5</v>
      </c>
      <c r="L310" s="45">
        <v>4450.8</v>
      </c>
      <c r="M310" s="74">
        <v>0.674047038512214</v>
      </c>
      <c r="N310" s="45" t="s">
        <v>39</v>
      </c>
    </row>
    <row r="311" ht="43.2" customHeight="1" spans="1:14">
      <c r="A311" s="45">
        <v>218.81</v>
      </c>
      <c r="B311" s="45">
        <v>8.14</v>
      </c>
      <c r="C311" s="45">
        <f t="shared" si="3"/>
        <v>26.8808353808354</v>
      </c>
      <c r="D311" s="45">
        <v>2650</v>
      </c>
      <c r="E311" s="45">
        <f t="shared" si="4"/>
        <v>12.1109638499155</v>
      </c>
      <c r="F311" s="45">
        <v>1006</v>
      </c>
      <c r="G311" s="45">
        <v>90</v>
      </c>
      <c r="H311" s="45">
        <v>77177</v>
      </c>
      <c r="I311" s="48" t="s">
        <v>16</v>
      </c>
      <c r="J311" s="45">
        <v>596</v>
      </c>
      <c r="K311" s="45">
        <v>81.5</v>
      </c>
      <c r="L311" s="45">
        <v>3427.3</v>
      </c>
      <c r="M311" s="74">
        <v>0.519044085353849</v>
      </c>
      <c r="N311" s="45" t="s">
        <v>39</v>
      </c>
    </row>
    <row r="312" spans="1:14">
      <c r="A312" s="42">
        <v>219.05</v>
      </c>
      <c r="B312" s="42">
        <v>6.21</v>
      </c>
      <c r="C312" s="42">
        <f t="shared" si="3"/>
        <v>35.2737520128824</v>
      </c>
      <c r="D312" s="42">
        <v>2650</v>
      </c>
      <c r="E312" s="42">
        <f t="shared" si="4"/>
        <v>12.0976945902762</v>
      </c>
      <c r="F312" s="42">
        <v>20</v>
      </c>
      <c r="G312" s="41">
        <v>0</v>
      </c>
      <c r="H312" s="42">
        <v>0</v>
      </c>
      <c r="I312" s="43" t="s">
        <v>14</v>
      </c>
      <c r="J312" s="42">
        <v>830</v>
      </c>
      <c r="K312" s="42">
        <v>81.5</v>
      </c>
      <c r="L312" s="42">
        <v>7190.2</v>
      </c>
      <c r="M312" s="72">
        <v>1</v>
      </c>
      <c r="N312" s="45" t="s">
        <v>39</v>
      </c>
    </row>
    <row r="313" ht="43.2" customHeight="1" spans="1:14">
      <c r="A313" s="45">
        <v>219.32</v>
      </c>
      <c r="B313" s="45">
        <v>6.3</v>
      </c>
      <c r="C313" s="45">
        <f t="shared" si="3"/>
        <v>34.8126984126984</v>
      </c>
      <c r="D313" s="45">
        <v>2650</v>
      </c>
      <c r="E313" s="45">
        <f t="shared" si="4"/>
        <v>12.0828013861025</v>
      </c>
      <c r="F313" s="45">
        <v>902</v>
      </c>
      <c r="G313" s="45">
        <v>45</v>
      </c>
      <c r="H313" s="45">
        <v>33973</v>
      </c>
      <c r="I313" s="48" t="s">
        <v>16</v>
      </c>
      <c r="J313" s="45">
        <v>830</v>
      </c>
      <c r="K313" s="45">
        <v>81.5</v>
      </c>
      <c r="L313" s="45">
        <v>3432.1</v>
      </c>
      <c r="M313" s="74">
        <v>0.4773302550694</v>
      </c>
      <c r="N313" s="45" t="s">
        <v>39</v>
      </c>
    </row>
    <row r="314" ht="43.2" customHeight="1" spans="1:14">
      <c r="A314" s="45">
        <v>219.15</v>
      </c>
      <c r="B314" s="45">
        <v>6.08</v>
      </c>
      <c r="C314" s="45">
        <f t="shared" si="3"/>
        <v>36.0444078947368</v>
      </c>
      <c r="D314" s="45">
        <v>2650</v>
      </c>
      <c r="E314" s="45">
        <f t="shared" si="4"/>
        <v>12.0921743098334</v>
      </c>
      <c r="F314" s="45">
        <v>1006</v>
      </c>
      <c r="G314" s="45">
        <v>90</v>
      </c>
      <c r="H314" s="45">
        <v>77177</v>
      </c>
      <c r="I314" s="48" t="s">
        <v>16</v>
      </c>
      <c r="J314" s="45">
        <v>830</v>
      </c>
      <c r="K314" s="45">
        <v>81.5</v>
      </c>
      <c r="L314" s="45">
        <v>2116.3</v>
      </c>
      <c r="M314" s="74">
        <v>0.294331172985453</v>
      </c>
      <c r="N314" s="45" t="s">
        <v>39</v>
      </c>
    </row>
    <row r="315" spans="1:14">
      <c r="A315" s="16">
        <v>120</v>
      </c>
      <c r="B315" s="16">
        <v>1</v>
      </c>
      <c r="C315" s="16">
        <f t="shared" si="3"/>
        <v>120</v>
      </c>
      <c r="D315" s="16">
        <v>360</v>
      </c>
      <c r="E315" s="16">
        <f t="shared" si="4"/>
        <v>3</v>
      </c>
      <c r="F315" s="16">
        <v>20</v>
      </c>
      <c r="G315" s="11">
        <v>0</v>
      </c>
      <c r="H315" s="16">
        <v>0</v>
      </c>
      <c r="I315" s="12" t="s">
        <v>14</v>
      </c>
      <c r="J315" s="16">
        <v>312.5</v>
      </c>
      <c r="K315" s="16">
        <v>21.8</v>
      </c>
      <c r="L315" s="16">
        <v>668.07</v>
      </c>
      <c r="M315" s="79">
        <v>1</v>
      </c>
      <c r="N315" s="14" t="s">
        <v>40</v>
      </c>
    </row>
    <row r="316" spans="1:14">
      <c r="A316" s="14">
        <v>120</v>
      </c>
      <c r="B316" s="14">
        <v>1</v>
      </c>
      <c r="C316" s="14">
        <f t="shared" si="3"/>
        <v>120</v>
      </c>
      <c r="D316" s="14">
        <v>360</v>
      </c>
      <c r="E316" s="14">
        <f t="shared" si="4"/>
        <v>3</v>
      </c>
      <c r="F316" s="14">
        <v>400</v>
      </c>
      <c r="G316" s="14">
        <v>68</v>
      </c>
      <c r="H316" s="14">
        <v>25600</v>
      </c>
      <c r="I316" s="51" t="s">
        <v>16</v>
      </c>
      <c r="J316" s="14">
        <v>312.5</v>
      </c>
      <c r="K316" s="14">
        <v>21.8</v>
      </c>
      <c r="L316" s="14">
        <v>649.53</v>
      </c>
      <c r="M316" s="17">
        <v>0.972248417082042</v>
      </c>
      <c r="N316" s="14" t="s">
        <v>40</v>
      </c>
    </row>
    <row r="317" spans="1:14">
      <c r="A317" s="14">
        <v>120</v>
      </c>
      <c r="B317" s="14">
        <v>1</v>
      </c>
      <c r="C317" s="14">
        <f t="shared" si="3"/>
        <v>120</v>
      </c>
      <c r="D317" s="14">
        <v>360</v>
      </c>
      <c r="E317" s="14">
        <f t="shared" si="4"/>
        <v>3</v>
      </c>
      <c r="F317" s="14">
        <v>842</v>
      </c>
      <c r="G317" s="14">
        <v>30</v>
      </c>
      <c r="H317" s="14">
        <v>20862</v>
      </c>
      <c r="I317" s="51" t="s">
        <v>16</v>
      </c>
      <c r="J317" s="14">
        <v>312.5</v>
      </c>
      <c r="K317" s="14">
        <v>21.8</v>
      </c>
      <c r="L317" s="14">
        <v>694.62</v>
      </c>
      <c r="M317" s="17">
        <v>1.03974134446989</v>
      </c>
      <c r="N317" s="14" t="s">
        <v>40</v>
      </c>
    </row>
    <row r="318" spans="1:14">
      <c r="A318" s="14">
        <v>120</v>
      </c>
      <c r="B318" s="14">
        <v>1</v>
      </c>
      <c r="C318" s="14">
        <f t="shared" si="3"/>
        <v>120</v>
      </c>
      <c r="D318" s="14">
        <v>360</v>
      </c>
      <c r="E318" s="14">
        <f t="shared" si="4"/>
        <v>3</v>
      </c>
      <c r="F318" s="14">
        <v>945</v>
      </c>
      <c r="G318" s="14">
        <v>60</v>
      </c>
      <c r="H318" s="14">
        <v>47846</v>
      </c>
      <c r="I318" s="51" t="s">
        <v>16</v>
      </c>
      <c r="J318" s="14">
        <v>312.5</v>
      </c>
      <c r="K318" s="14">
        <v>21.8</v>
      </c>
      <c r="L318" s="14">
        <v>636.12</v>
      </c>
      <c r="M318" s="17">
        <v>0.952175670214199</v>
      </c>
      <c r="N318" s="14" t="s">
        <v>40</v>
      </c>
    </row>
    <row r="319" spans="1:14">
      <c r="A319" s="14">
        <v>120</v>
      </c>
      <c r="B319" s="14">
        <v>1</v>
      </c>
      <c r="C319" s="14">
        <f t="shared" si="3"/>
        <v>120</v>
      </c>
      <c r="D319" s="14">
        <v>360</v>
      </c>
      <c r="E319" s="14">
        <f t="shared" si="4"/>
        <v>3</v>
      </c>
      <c r="F319" s="14">
        <v>1006</v>
      </c>
      <c r="G319" s="14">
        <v>90</v>
      </c>
      <c r="H319" s="14">
        <v>77177</v>
      </c>
      <c r="I319" s="51" t="s">
        <v>16</v>
      </c>
      <c r="J319" s="14">
        <v>312.5</v>
      </c>
      <c r="K319" s="14">
        <v>21.8</v>
      </c>
      <c r="L319" s="14">
        <v>397.44</v>
      </c>
      <c r="M319" s="17">
        <v>0.594907719250977</v>
      </c>
      <c r="N319" s="14" t="s">
        <v>40</v>
      </c>
    </row>
    <row r="320" spans="1:14">
      <c r="A320" s="16">
        <v>120</v>
      </c>
      <c r="B320" s="16">
        <v>1</v>
      </c>
      <c r="C320" s="16">
        <f t="shared" si="3"/>
        <v>120</v>
      </c>
      <c r="D320" s="16">
        <v>360</v>
      </c>
      <c r="E320" s="16">
        <f t="shared" si="4"/>
        <v>3</v>
      </c>
      <c r="F320" s="16">
        <v>20</v>
      </c>
      <c r="G320" s="11">
        <v>0</v>
      </c>
      <c r="H320" s="16">
        <v>0</v>
      </c>
      <c r="I320" s="12" t="s">
        <v>14</v>
      </c>
      <c r="J320" s="16">
        <v>312.5</v>
      </c>
      <c r="K320" s="16">
        <v>32.6</v>
      </c>
      <c r="L320" s="16">
        <v>757.17</v>
      </c>
      <c r="M320" s="79">
        <v>1</v>
      </c>
      <c r="N320" s="14" t="s">
        <v>40</v>
      </c>
    </row>
    <row r="321" spans="1:14">
      <c r="A321" s="14">
        <v>120</v>
      </c>
      <c r="B321" s="14">
        <v>1</v>
      </c>
      <c r="C321" s="14">
        <f t="shared" si="3"/>
        <v>120</v>
      </c>
      <c r="D321" s="14">
        <v>360</v>
      </c>
      <c r="E321" s="14">
        <f t="shared" si="4"/>
        <v>3</v>
      </c>
      <c r="F321" s="14">
        <v>400</v>
      </c>
      <c r="G321" s="14">
        <v>68</v>
      </c>
      <c r="H321" s="14">
        <v>25600</v>
      </c>
      <c r="I321" s="51" t="s">
        <v>16</v>
      </c>
      <c r="J321" s="14">
        <v>312.5</v>
      </c>
      <c r="K321" s="14">
        <v>32.6</v>
      </c>
      <c r="L321" s="14">
        <v>743.49</v>
      </c>
      <c r="M321" s="17">
        <v>0.981932723166528</v>
      </c>
      <c r="N321" s="14" t="s">
        <v>40</v>
      </c>
    </row>
    <row r="322" spans="1:14">
      <c r="A322" s="14">
        <v>120</v>
      </c>
      <c r="B322" s="14">
        <v>1</v>
      </c>
      <c r="C322" s="14">
        <f t="shared" si="3"/>
        <v>120</v>
      </c>
      <c r="D322" s="14">
        <v>360</v>
      </c>
      <c r="E322" s="14">
        <f t="shared" si="4"/>
        <v>3</v>
      </c>
      <c r="F322" s="14">
        <v>842</v>
      </c>
      <c r="G322" s="14">
        <v>30</v>
      </c>
      <c r="H322" s="14">
        <v>20862</v>
      </c>
      <c r="I322" s="51" t="s">
        <v>16</v>
      </c>
      <c r="J322" s="14">
        <v>312.5</v>
      </c>
      <c r="K322" s="14">
        <v>32.6</v>
      </c>
      <c r="L322" s="14">
        <v>749.52</v>
      </c>
      <c r="M322" s="17">
        <v>0.989896588612861</v>
      </c>
      <c r="N322" s="14" t="s">
        <v>40</v>
      </c>
    </row>
    <row r="323" spans="1:14">
      <c r="A323" s="14">
        <v>120</v>
      </c>
      <c r="B323" s="14">
        <v>1</v>
      </c>
      <c r="C323" s="14">
        <f t="shared" si="3"/>
        <v>120</v>
      </c>
      <c r="D323" s="14">
        <v>360</v>
      </c>
      <c r="E323" s="14">
        <f t="shared" si="4"/>
        <v>3</v>
      </c>
      <c r="F323" s="14">
        <v>945</v>
      </c>
      <c r="G323" s="14">
        <v>60</v>
      </c>
      <c r="H323" s="14">
        <v>47846</v>
      </c>
      <c r="I323" s="51" t="s">
        <v>16</v>
      </c>
      <c r="J323" s="14">
        <v>312.5</v>
      </c>
      <c r="K323" s="14">
        <v>32.6</v>
      </c>
      <c r="L323" s="14">
        <v>707.94</v>
      </c>
      <c r="M323" s="17">
        <v>0.934981576132176</v>
      </c>
      <c r="N323" s="14" t="s">
        <v>40</v>
      </c>
    </row>
    <row r="324" spans="1:14">
      <c r="A324" s="14">
        <v>120</v>
      </c>
      <c r="B324" s="14">
        <v>1</v>
      </c>
      <c r="C324" s="14">
        <f t="shared" si="3"/>
        <v>120</v>
      </c>
      <c r="D324" s="14">
        <v>360</v>
      </c>
      <c r="E324" s="14">
        <f t="shared" si="4"/>
        <v>3</v>
      </c>
      <c r="F324" s="14">
        <v>1006</v>
      </c>
      <c r="G324" s="14">
        <v>90</v>
      </c>
      <c r="H324" s="14">
        <v>77177</v>
      </c>
      <c r="I324" s="51" t="s">
        <v>16</v>
      </c>
      <c r="J324" s="14">
        <v>312.5</v>
      </c>
      <c r="K324" s="14">
        <v>32.6</v>
      </c>
      <c r="L324" s="14">
        <v>450.81</v>
      </c>
      <c r="M324" s="17">
        <v>0.59538808986093</v>
      </c>
      <c r="N324" s="14" t="s">
        <v>40</v>
      </c>
    </row>
    <row r="325" spans="1:14">
      <c r="A325" s="16">
        <v>120</v>
      </c>
      <c r="B325" s="16">
        <v>1</v>
      </c>
      <c r="C325" s="16">
        <f t="shared" si="3"/>
        <v>120</v>
      </c>
      <c r="D325" s="16">
        <v>360</v>
      </c>
      <c r="E325" s="16">
        <f t="shared" si="4"/>
        <v>3</v>
      </c>
      <c r="F325" s="16">
        <v>20</v>
      </c>
      <c r="G325" s="11">
        <v>0</v>
      </c>
      <c r="H325" s="16">
        <v>0</v>
      </c>
      <c r="I325" s="12" t="s">
        <v>14</v>
      </c>
      <c r="J325" s="16">
        <v>312.5</v>
      </c>
      <c r="K325" s="16">
        <v>42.3</v>
      </c>
      <c r="L325" s="16">
        <v>830.61</v>
      </c>
      <c r="M325" s="79">
        <v>1</v>
      </c>
      <c r="N325" s="14" t="s">
        <v>40</v>
      </c>
    </row>
    <row r="326" spans="1:14">
      <c r="A326" s="14">
        <v>120</v>
      </c>
      <c r="B326" s="14">
        <v>1</v>
      </c>
      <c r="C326" s="14">
        <f t="shared" si="3"/>
        <v>120</v>
      </c>
      <c r="D326" s="14">
        <v>360</v>
      </c>
      <c r="E326" s="14">
        <f t="shared" si="4"/>
        <v>3</v>
      </c>
      <c r="F326" s="14">
        <v>400</v>
      </c>
      <c r="G326" s="14">
        <v>68</v>
      </c>
      <c r="H326" s="14">
        <v>25600</v>
      </c>
      <c r="I326" s="51" t="s">
        <v>16</v>
      </c>
      <c r="J326" s="14">
        <v>312.5</v>
      </c>
      <c r="K326" s="14">
        <v>42.3</v>
      </c>
      <c r="L326" s="14">
        <v>778.59</v>
      </c>
      <c r="M326" s="17">
        <v>0.937371329504822</v>
      </c>
      <c r="N326" s="14" t="s">
        <v>40</v>
      </c>
    </row>
    <row r="327" spans="1:14">
      <c r="A327" s="14">
        <v>120</v>
      </c>
      <c r="B327" s="14">
        <v>1</v>
      </c>
      <c r="C327" s="14">
        <f t="shared" si="3"/>
        <v>120</v>
      </c>
      <c r="D327" s="14">
        <v>360</v>
      </c>
      <c r="E327" s="14">
        <f t="shared" si="4"/>
        <v>3</v>
      </c>
      <c r="F327" s="14">
        <v>842</v>
      </c>
      <c r="G327" s="14">
        <v>30</v>
      </c>
      <c r="H327" s="14">
        <v>20862</v>
      </c>
      <c r="I327" s="51" t="s">
        <v>16</v>
      </c>
      <c r="J327" s="14">
        <v>312.5</v>
      </c>
      <c r="K327" s="14">
        <v>42.3</v>
      </c>
      <c r="L327" s="14">
        <v>772.47</v>
      </c>
      <c r="M327" s="17">
        <v>0.930003250623036</v>
      </c>
      <c r="N327" s="14" t="s">
        <v>40</v>
      </c>
    </row>
    <row r="328" spans="1:14">
      <c r="A328" s="14">
        <v>120</v>
      </c>
      <c r="B328" s="14">
        <v>1</v>
      </c>
      <c r="C328" s="14">
        <f t="shared" si="3"/>
        <v>120</v>
      </c>
      <c r="D328" s="14">
        <v>360</v>
      </c>
      <c r="E328" s="14">
        <f t="shared" si="4"/>
        <v>3</v>
      </c>
      <c r="F328" s="14">
        <v>945</v>
      </c>
      <c r="G328" s="14">
        <v>60</v>
      </c>
      <c r="H328" s="14">
        <v>47846</v>
      </c>
      <c r="I328" s="51" t="s">
        <v>16</v>
      </c>
      <c r="J328" s="14">
        <v>312.5</v>
      </c>
      <c r="K328" s="14">
        <v>42.3</v>
      </c>
      <c r="L328" s="14">
        <v>720.27</v>
      </c>
      <c r="M328" s="17">
        <v>0.867157871925452</v>
      </c>
      <c r="N328" s="14" t="s">
        <v>40</v>
      </c>
    </row>
    <row r="329" spans="1:14">
      <c r="A329" s="14">
        <v>120</v>
      </c>
      <c r="B329" s="14">
        <v>1</v>
      </c>
      <c r="C329" s="14">
        <f t="shared" si="3"/>
        <v>120</v>
      </c>
      <c r="D329" s="14">
        <v>360</v>
      </c>
      <c r="E329" s="14">
        <f t="shared" si="4"/>
        <v>3</v>
      </c>
      <c r="F329" s="14">
        <v>1006</v>
      </c>
      <c r="G329" s="14">
        <v>90</v>
      </c>
      <c r="H329" s="14">
        <v>77177</v>
      </c>
      <c r="I329" s="51" t="s">
        <v>16</v>
      </c>
      <c r="J329" s="14">
        <v>312.5</v>
      </c>
      <c r="K329" s="14">
        <v>42.3</v>
      </c>
      <c r="L329" s="14">
        <v>517.05</v>
      </c>
      <c r="M329" s="17">
        <v>0.622494311409687</v>
      </c>
      <c r="N329" s="14" t="s">
        <v>40</v>
      </c>
    </row>
    <row r="330" spans="1:14">
      <c r="A330" s="16">
        <v>120</v>
      </c>
      <c r="B330" s="16">
        <v>1.2</v>
      </c>
      <c r="C330" s="16">
        <f t="shared" si="3"/>
        <v>100</v>
      </c>
      <c r="D330" s="16">
        <v>360</v>
      </c>
      <c r="E330" s="16">
        <f t="shared" si="4"/>
        <v>3</v>
      </c>
      <c r="F330" s="16">
        <v>20</v>
      </c>
      <c r="G330" s="11">
        <v>0</v>
      </c>
      <c r="H330" s="16">
        <v>0</v>
      </c>
      <c r="I330" s="12" t="s">
        <v>14</v>
      </c>
      <c r="J330" s="16">
        <v>301.6</v>
      </c>
      <c r="K330" s="16">
        <v>21.8</v>
      </c>
      <c r="L330" s="16">
        <v>792.63</v>
      </c>
      <c r="M330" s="79">
        <v>1</v>
      </c>
      <c r="N330" s="14" t="s">
        <v>40</v>
      </c>
    </row>
    <row r="331" spans="1:14">
      <c r="A331" s="14">
        <v>120</v>
      </c>
      <c r="B331" s="14">
        <v>1.2</v>
      </c>
      <c r="C331" s="14">
        <f t="shared" si="3"/>
        <v>100</v>
      </c>
      <c r="D331" s="14">
        <v>360</v>
      </c>
      <c r="E331" s="14">
        <f t="shared" si="4"/>
        <v>3</v>
      </c>
      <c r="F331" s="14">
        <v>400</v>
      </c>
      <c r="G331" s="14">
        <v>68</v>
      </c>
      <c r="H331" s="14">
        <v>25600</v>
      </c>
      <c r="I331" s="51" t="s">
        <v>16</v>
      </c>
      <c r="J331" s="14">
        <v>301.6</v>
      </c>
      <c r="K331" s="14">
        <v>21.8</v>
      </c>
      <c r="L331" s="14">
        <v>796.59</v>
      </c>
      <c r="M331" s="17">
        <v>1.0049960258885</v>
      </c>
      <c r="N331" s="14" t="s">
        <v>40</v>
      </c>
    </row>
    <row r="332" spans="1:14">
      <c r="A332" s="14">
        <v>120</v>
      </c>
      <c r="B332" s="14">
        <v>1.2</v>
      </c>
      <c r="C332" s="14">
        <f t="shared" si="3"/>
        <v>100</v>
      </c>
      <c r="D332" s="14">
        <v>360</v>
      </c>
      <c r="E332" s="14">
        <f t="shared" si="4"/>
        <v>3</v>
      </c>
      <c r="F332" s="14">
        <v>842</v>
      </c>
      <c r="G332" s="14">
        <v>30</v>
      </c>
      <c r="H332" s="14">
        <v>20862</v>
      </c>
      <c r="I332" s="51" t="s">
        <v>16</v>
      </c>
      <c r="J332" s="14">
        <v>301.6</v>
      </c>
      <c r="K332" s="14">
        <v>21.8</v>
      </c>
      <c r="L332" s="14">
        <v>785.43</v>
      </c>
      <c r="M332" s="17">
        <v>0.990916316566368</v>
      </c>
      <c r="N332" s="14" t="s">
        <v>40</v>
      </c>
    </row>
    <row r="333" spans="1:14">
      <c r="A333" s="14">
        <v>120</v>
      </c>
      <c r="B333" s="14">
        <v>1.2</v>
      </c>
      <c r="C333" s="14">
        <f t="shared" si="3"/>
        <v>100</v>
      </c>
      <c r="D333" s="14">
        <v>360</v>
      </c>
      <c r="E333" s="14">
        <f t="shared" si="4"/>
        <v>3</v>
      </c>
      <c r="F333" s="14">
        <v>945</v>
      </c>
      <c r="G333" s="14">
        <v>60</v>
      </c>
      <c r="H333" s="14">
        <v>47846</v>
      </c>
      <c r="I333" s="51" t="s">
        <v>16</v>
      </c>
      <c r="J333" s="14">
        <v>301.6</v>
      </c>
      <c r="K333" s="14">
        <v>21.8</v>
      </c>
      <c r="L333" s="14">
        <v>756.36</v>
      </c>
      <c r="M333" s="17">
        <v>0.954240944703077</v>
      </c>
      <c r="N333" s="14" t="s">
        <v>40</v>
      </c>
    </row>
    <row r="334" spans="1:14">
      <c r="A334" s="14">
        <v>120</v>
      </c>
      <c r="B334" s="14">
        <v>1.2</v>
      </c>
      <c r="C334" s="14">
        <f t="shared" si="3"/>
        <v>100</v>
      </c>
      <c r="D334" s="14">
        <v>360</v>
      </c>
      <c r="E334" s="14">
        <f t="shared" si="4"/>
        <v>3</v>
      </c>
      <c r="F334" s="14">
        <v>1006</v>
      </c>
      <c r="G334" s="14">
        <v>90</v>
      </c>
      <c r="H334" s="14">
        <v>77177</v>
      </c>
      <c r="I334" s="51" t="s">
        <v>16</v>
      </c>
      <c r="J334" s="14">
        <v>301.6</v>
      </c>
      <c r="K334" s="14">
        <v>21.8</v>
      </c>
      <c r="L334" s="14">
        <v>539.73</v>
      </c>
      <c r="M334" s="17">
        <v>0.680935619393664</v>
      </c>
      <c r="N334" s="14" t="s">
        <v>40</v>
      </c>
    </row>
    <row r="335" spans="1:14">
      <c r="A335" s="16">
        <v>120</v>
      </c>
      <c r="B335" s="16">
        <v>1.2</v>
      </c>
      <c r="C335" s="16">
        <f t="shared" si="3"/>
        <v>100</v>
      </c>
      <c r="D335" s="16">
        <v>360</v>
      </c>
      <c r="E335" s="16">
        <f t="shared" si="4"/>
        <v>3</v>
      </c>
      <c r="F335" s="16">
        <v>20</v>
      </c>
      <c r="G335" s="11">
        <v>0</v>
      </c>
      <c r="H335" s="16">
        <v>0</v>
      </c>
      <c r="I335" s="12" t="s">
        <v>14</v>
      </c>
      <c r="J335" s="16">
        <v>301.6</v>
      </c>
      <c r="K335" s="16">
        <v>32.6</v>
      </c>
      <c r="L335" s="16">
        <v>798.39</v>
      </c>
      <c r="M335" s="79">
        <v>1</v>
      </c>
      <c r="N335" s="14" t="s">
        <v>40</v>
      </c>
    </row>
    <row r="336" spans="1:14">
      <c r="A336" s="14">
        <v>120</v>
      </c>
      <c r="B336" s="14">
        <v>1.2</v>
      </c>
      <c r="C336" s="14">
        <f t="shared" si="3"/>
        <v>100</v>
      </c>
      <c r="D336" s="14">
        <v>360</v>
      </c>
      <c r="E336" s="14">
        <f t="shared" si="4"/>
        <v>3</v>
      </c>
      <c r="F336" s="14">
        <v>400</v>
      </c>
      <c r="G336" s="14">
        <v>68</v>
      </c>
      <c r="H336" s="14">
        <v>25600</v>
      </c>
      <c r="I336" s="51" t="s">
        <v>16</v>
      </c>
      <c r="J336" s="14">
        <v>301.6</v>
      </c>
      <c r="K336" s="14">
        <v>32.6</v>
      </c>
      <c r="L336" s="14">
        <v>818.1</v>
      </c>
      <c r="M336" s="17">
        <v>1.0246871829557</v>
      </c>
      <c r="N336" s="14" t="s">
        <v>40</v>
      </c>
    </row>
    <row r="337" spans="1:14">
      <c r="A337" s="14">
        <v>120</v>
      </c>
      <c r="B337" s="14">
        <v>1.2</v>
      </c>
      <c r="C337" s="14">
        <f t="shared" si="3"/>
        <v>100</v>
      </c>
      <c r="D337" s="14">
        <v>360</v>
      </c>
      <c r="E337" s="14">
        <f t="shared" si="4"/>
        <v>3</v>
      </c>
      <c r="F337" s="14">
        <v>842</v>
      </c>
      <c r="G337" s="14">
        <v>30</v>
      </c>
      <c r="H337" s="14">
        <v>20862</v>
      </c>
      <c r="I337" s="51" t="s">
        <v>16</v>
      </c>
      <c r="J337" s="14">
        <v>301.6</v>
      </c>
      <c r="K337" s="14">
        <v>32.6</v>
      </c>
      <c r="L337" s="14">
        <v>793.62</v>
      </c>
      <c r="M337" s="17">
        <v>0.994025476270995</v>
      </c>
      <c r="N337" s="14" t="s">
        <v>40</v>
      </c>
    </row>
    <row r="338" spans="1:14">
      <c r="A338" s="14">
        <v>120</v>
      </c>
      <c r="B338" s="14">
        <v>1.2</v>
      </c>
      <c r="C338" s="14">
        <f t="shared" si="3"/>
        <v>100</v>
      </c>
      <c r="D338" s="14">
        <v>360</v>
      </c>
      <c r="E338" s="14">
        <f t="shared" si="4"/>
        <v>3</v>
      </c>
      <c r="F338" s="14">
        <v>945</v>
      </c>
      <c r="G338" s="14">
        <v>60</v>
      </c>
      <c r="H338" s="14">
        <v>47846</v>
      </c>
      <c r="I338" s="51" t="s">
        <v>16</v>
      </c>
      <c r="J338" s="14">
        <v>301.6</v>
      </c>
      <c r="K338" s="14">
        <v>32.6</v>
      </c>
      <c r="L338" s="14">
        <v>738.9</v>
      </c>
      <c r="M338" s="17">
        <v>0.925487543681659</v>
      </c>
      <c r="N338" s="14" t="s">
        <v>40</v>
      </c>
    </row>
    <row r="339" spans="1:14">
      <c r="A339" s="14">
        <v>120</v>
      </c>
      <c r="B339" s="14">
        <v>1.2</v>
      </c>
      <c r="C339" s="14">
        <f t="shared" si="3"/>
        <v>100</v>
      </c>
      <c r="D339" s="14">
        <v>360</v>
      </c>
      <c r="E339" s="14">
        <f t="shared" si="4"/>
        <v>3</v>
      </c>
      <c r="F339" s="14">
        <v>1006</v>
      </c>
      <c r="G339" s="14">
        <v>90</v>
      </c>
      <c r="H339" s="14">
        <v>77177</v>
      </c>
      <c r="I339" s="51" t="s">
        <v>16</v>
      </c>
      <c r="J339" s="14">
        <v>301.6</v>
      </c>
      <c r="K339" s="14">
        <v>32.6</v>
      </c>
      <c r="L339" s="14">
        <v>537.66</v>
      </c>
      <c r="M339" s="17">
        <v>0.673430278435351</v>
      </c>
      <c r="N339" s="14" t="s">
        <v>40</v>
      </c>
    </row>
    <row r="340" spans="1:14">
      <c r="A340" s="16">
        <v>120</v>
      </c>
      <c r="B340" s="16">
        <v>1.2</v>
      </c>
      <c r="C340" s="16">
        <f t="shared" si="3"/>
        <v>100</v>
      </c>
      <c r="D340" s="16">
        <v>360</v>
      </c>
      <c r="E340" s="16">
        <f t="shared" si="4"/>
        <v>3</v>
      </c>
      <c r="F340" s="16">
        <v>20</v>
      </c>
      <c r="G340" s="11">
        <v>0</v>
      </c>
      <c r="H340" s="16">
        <v>0</v>
      </c>
      <c r="I340" s="12" t="s">
        <v>14</v>
      </c>
      <c r="J340" s="16">
        <v>301.6</v>
      </c>
      <c r="K340" s="16">
        <v>42.3</v>
      </c>
      <c r="L340" s="16">
        <v>900.45</v>
      </c>
      <c r="M340" s="79">
        <v>1</v>
      </c>
      <c r="N340" s="14" t="s">
        <v>40</v>
      </c>
    </row>
    <row r="341" spans="1:14">
      <c r="A341" s="14">
        <v>120</v>
      </c>
      <c r="B341" s="14">
        <v>1.2</v>
      </c>
      <c r="C341" s="14">
        <f t="shared" si="3"/>
        <v>100</v>
      </c>
      <c r="D341" s="14">
        <v>360</v>
      </c>
      <c r="E341" s="14">
        <f t="shared" si="4"/>
        <v>3</v>
      </c>
      <c r="F341" s="14">
        <v>400</v>
      </c>
      <c r="G341" s="14">
        <v>68</v>
      </c>
      <c r="H341" s="14">
        <v>25600</v>
      </c>
      <c r="I341" s="51" t="s">
        <v>16</v>
      </c>
      <c r="J341" s="14">
        <v>301.6</v>
      </c>
      <c r="K341" s="14">
        <v>42.3</v>
      </c>
      <c r="L341" s="14">
        <v>902.79</v>
      </c>
      <c r="M341" s="17">
        <v>1.00259870064968</v>
      </c>
      <c r="N341" s="14" t="s">
        <v>40</v>
      </c>
    </row>
    <row r="342" spans="1:14">
      <c r="A342" s="14">
        <v>120</v>
      </c>
      <c r="B342" s="14">
        <v>1.2</v>
      </c>
      <c r="C342" s="14">
        <f t="shared" si="3"/>
        <v>100</v>
      </c>
      <c r="D342" s="14">
        <v>360</v>
      </c>
      <c r="E342" s="14">
        <f t="shared" si="4"/>
        <v>3</v>
      </c>
      <c r="F342" s="14">
        <v>842</v>
      </c>
      <c r="G342" s="14">
        <v>30</v>
      </c>
      <c r="H342" s="14">
        <v>20862</v>
      </c>
      <c r="I342" s="51" t="s">
        <v>16</v>
      </c>
      <c r="J342" s="14">
        <v>301.6</v>
      </c>
      <c r="K342" s="14">
        <v>42.3</v>
      </c>
      <c r="L342" s="14">
        <v>919.35</v>
      </c>
      <c r="M342" s="17">
        <v>1.02098950524738</v>
      </c>
      <c r="N342" s="14" t="s">
        <v>40</v>
      </c>
    </row>
    <row r="343" spans="1:14">
      <c r="A343" s="14">
        <v>120</v>
      </c>
      <c r="B343" s="14">
        <v>1.2</v>
      </c>
      <c r="C343" s="14">
        <f t="shared" si="3"/>
        <v>100</v>
      </c>
      <c r="D343" s="14">
        <v>360</v>
      </c>
      <c r="E343" s="14">
        <f t="shared" si="4"/>
        <v>3</v>
      </c>
      <c r="F343" s="14">
        <v>945</v>
      </c>
      <c r="G343" s="14">
        <v>60</v>
      </c>
      <c r="H343" s="14">
        <v>47846</v>
      </c>
      <c r="I343" s="51" t="s">
        <v>16</v>
      </c>
      <c r="J343" s="14">
        <v>301.6</v>
      </c>
      <c r="K343" s="14">
        <v>42.3</v>
      </c>
      <c r="L343" s="14">
        <v>800.91</v>
      </c>
      <c r="M343" s="17">
        <v>0.889455272363818</v>
      </c>
      <c r="N343" s="14" t="s">
        <v>40</v>
      </c>
    </row>
    <row r="344" spans="1:14">
      <c r="A344" s="14">
        <v>120</v>
      </c>
      <c r="B344" s="14">
        <v>1.2</v>
      </c>
      <c r="C344" s="14">
        <f t="shared" si="3"/>
        <v>100</v>
      </c>
      <c r="D344" s="14">
        <v>360</v>
      </c>
      <c r="E344" s="14">
        <f t="shared" si="4"/>
        <v>3</v>
      </c>
      <c r="F344" s="14">
        <v>1006</v>
      </c>
      <c r="G344" s="14">
        <v>90</v>
      </c>
      <c r="H344" s="14">
        <v>77177</v>
      </c>
      <c r="I344" s="51" t="s">
        <v>16</v>
      </c>
      <c r="J344" s="14">
        <v>301.6</v>
      </c>
      <c r="K344" s="14">
        <v>42.3</v>
      </c>
      <c r="L344" s="14">
        <v>531</v>
      </c>
      <c r="M344" s="17">
        <v>0.589705147426287</v>
      </c>
      <c r="N344" s="14" t="s">
        <v>40</v>
      </c>
    </row>
    <row r="345" spans="1:14">
      <c r="A345" s="16">
        <v>120</v>
      </c>
      <c r="B345" s="16">
        <v>1.5</v>
      </c>
      <c r="C345" s="16">
        <f t="shared" si="3"/>
        <v>80</v>
      </c>
      <c r="D345" s="16">
        <v>360</v>
      </c>
      <c r="E345" s="16">
        <f t="shared" si="4"/>
        <v>3</v>
      </c>
      <c r="F345" s="16">
        <v>20</v>
      </c>
      <c r="G345" s="11">
        <v>0</v>
      </c>
      <c r="H345" s="16">
        <v>0</v>
      </c>
      <c r="I345" s="12" t="s">
        <v>14</v>
      </c>
      <c r="J345" s="16">
        <v>292.4</v>
      </c>
      <c r="K345" s="16">
        <v>21.8</v>
      </c>
      <c r="L345" s="16">
        <v>789.48</v>
      </c>
      <c r="M345" s="79">
        <v>1</v>
      </c>
      <c r="N345" s="14" t="s">
        <v>40</v>
      </c>
    </row>
    <row r="346" spans="1:14">
      <c r="A346" s="14">
        <v>120</v>
      </c>
      <c r="B346" s="14">
        <v>1.5</v>
      </c>
      <c r="C346" s="14">
        <f t="shared" si="3"/>
        <v>80</v>
      </c>
      <c r="D346" s="14">
        <v>360</v>
      </c>
      <c r="E346" s="14">
        <f t="shared" si="4"/>
        <v>3</v>
      </c>
      <c r="F346" s="14">
        <v>400</v>
      </c>
      <c r="G346" s="14">
        <v>68</v>
      </c>
      <c r="H346" s="14">
        <v>25600</v>
      </c>
      <c r="I346" s="51" t="s">
        <v>16</v>
      </c>
      <c r="J346" s="14">
        <v>292.4</v>
      </c>
      <c r="K346" s="14">
        <v>21.8</v>
      </c>
      <c r="L346" s="14">
        <v>797.58</v>
      </c>
      <c r="M346" s="17">
        <v>1.01025991792066</v>
      </c>
      <c r="N346" s="14" t="s">
        <v>40</v>
      </c>
    </row>
    <row r="347" spans="1:14">
      <c r="A347" s="14">
        <v>120</v>
      </c>
      <c r="B347" s="14">
        <v>1.5</v>
      </c>
      <c r="C347" s="14">
        <f t="shared" si="3"/>
        <v>80</v>
      </c>
      <c r="D347" s="14">
        <v>360</v>
      </c>
      <c r="E347" s="14">
        <f t="shared" si="4"/>
        <v>3</v>
      </c>
      <c r="F347" s="14">
        <v>842</v>
      </c>
      <c r="G347" s="14">
        <v>30</v>
      </c>
      <c r="H347" s="14">
        <v>20862</v>
      </c>
      <c r="I347" s="51" t="s">
        <v>16</v>
      </c>
      <c r="J347" s="14">
        <v>292.4</v>
      </c>
      <c r="K347" s="14">
        <v>21.8</v>
      </c>
      <c r="L347" s="14">
        <v>837.81</v>
      </c>
      <c r="M347" s="17">
        <v>1.06121751025992</v>
      </c>
      <c r="N347" s="14" t="s">
        <v>40</v>
      </c>
    </row>
    <row r="348" spans="1:14">
      <c r="A348" s="14">
        <v>120</v>
      </c>
      <c r="B348" s="14">
        <v>1.5</v>
      </c>
      <c r="C348" s="14">
        <f t="shared" si="3"/>
        <v>80</v>
      </c>
      <c r="D348" s="14">
        <v>360</v>
      </c>
      <c r="E348" s="14">
        <f t="shared" si="4"/>
        <v>3</v>
      </c>
      <c r="F348" s="14">
        <v>945</v>
      </c>
      <c r="G348" s="14">
        <v>60</v>
      </c>
      <c r="H348" s="14">
        <v>47846</v>
      </c>
      <c r="I348" s="51" t="s">
        <v>16</v>
      </c>
      <c r="J348" s="14">
        <v>292.4</v>
      </c>
      <c r="K348" s="14">
        <v>21.8</v>
      </c>
      <c r="L348" s="14">
        <v>786.51</v>
      </c>
      <c r="M348" s="17">
        <v>0.996238030095759</v>
      </c>
      <c r="N348" s="14" t="s">
        <v>40</v>
      </c>
    </row>
    <row r="349" spans="1:14">
      <c r="A349" s="14">
        <v>120</v>
      </c>
      <c r="B349" s="14">
        <v>1.5</v>
      </c>
      <c r="C349" s="14">
        <f t="shared" si="3"/>
        <v>80</v>
      </c>
      <c r="D349" s="14">
        <v>360</v>
      </c>
      <c r="E349" s="14">
        <f t="shared" si="4"/>
        <v>3</v>
      </c>
      <c r="F349" s="14">
        <v>1006</v>
      </c>
      <c r="G349" s="14">
        <v>90</v>
      </c>
      <c r="H349" s="14">
        <v>77177</v>
      </c>
      <c r="I349" s="51" t="s">
        <v>16</v>
      </c>
      <c r="J349" s="14">
        <v>292.4</v>
      </c>
      <c r="K349" s="14">
        <v>21.8</v>
      </c>
      <c r="L349" s="14">
        <v>560.07</v>
      </c>
      <c r="M349" s="17">
        <v>0.709416324669403</v>
      </c>
      <c r="N349" s="14" t="s">
        <v>40</v>
      </c>
    </row>
    <row r="350" spans="1:14">
      <c r="A350" s="16">
        <v>120</v>
      </c>
      <c r="B350" s="16">
        <v>1.5</v>
      </c>
      <c r="C350" s="16">
        <f t="shared" si="3"/>
        <v>80</v>
      </c>
      <c r="D350" s="16">
        <v>360</v>
      </c>
      <c r="E350" s="16">
        <f t="shared" si="4"/>
        <v>3</v>
      </c>
      <c r="F350" s="16">
        <v>20</v>
      </c>
      <c r="G350" s="11">
        <v>0</v>
      </c>
      <c r="H350" s="16">
        <v>0</v>
      </c>
      <c r="I350" s="12" t="s">
        <v>14</v>
      </c>
      <c r="J350" s="16">
        <v>292.4</v>
      </c>
      <c r="K350" s="16">
        <v>32.6</v>
      </c>
      <c r="L350" s="16">
        <v>828.45</v>
      </c>
      <c r="M350" s="79">
        <v>1</v>
      </c>
      <c r="N350" s="14" t="s">
        <v>40</v>
      </c>
    </row>
    <row r="351" spans="1:14">
      <c r="A351" s="14">
        <v>120</v>
      </c>
      <c r="B351" s="14">
        <v>1.5</v>
      </c>
      <c r="C351" s="14">
        <f t="shared" si="3"/>
        <v>80</v>
      </c>
      <c r="D351" s="14">
        <v>360</v>
      </c>
      <c r="E351" s="14">
        <f t="shared" si="4"/>
        <v>3</v>
      </c>
      <c r="F351" s="14">
        <v>400</v>
      </c>
      <c r="G351" s="14">
        <v>68</v>
      </c>
      <c r="H351" s="14">
        <v>25600</v>
      </c>
      <c r="I351" s="51" t="s">
        <v>16</v>
      </c>
      <c r="J351" s="14">
        <v>292.4</v>
      </c>
      <c r="K351" s="14">
        <v>32.6</v>
      </c>
      <c r="L351" s="14">
        <v>825.3</v>
      </c>
      <c r="M351" s="17">
        <v>0.996197718631179</v>
      </c>
      <c r="N351" s="14" t="s">
        <v>40</v>
      </c>
    </row>
    <row r="352" spans="1:14">
      <c r="A352" s="14">
        <v>120</v>
      </c>
      <c r="B352" s="14">
        <v>1.5</v>
      </c>
      <c r="C352" s="14">
        <f t="shared" si="3"/>
        <v>80</v>
      </c>
      <c r="D352" s="14">
        <v>360</v>
      </c>
      <c r="E352" s="14">
        <f t="shared" si="4"/>
        <v>3</v>
      </c>
      <c r="F352" s="14">
        <v>842</v>
      </c>
      <c r="G352" s="14">
        <v>30</v>
      </c>
      <c r="H352" s="14">
        <v>20862</v>
      </c>
      <c r="I352" s="51" t="s">
        <v>16</v>
      </c>
      <c r="J352" s="14">
        <v>292.4</v>
      </c>
      <c r="K352" s="14">
        <v>32.6</v>
      </c>
      <c r="L352" s="14">
        <v>885.96</v>
      </c>
      <c r="M352" s="17">
        <v>1.06941879413362</v>
      </c>
      <c r="N352" s="14" t="s">
        <v>40</v>
      </c>
    </row>
    <row r="353" spans="1:14">
      <c r="A353" s="14">
        <v>120</v>
      </c>
      <c r="B353" s="14">
        <v>1.5</v>
      </c>
      <c r="C353" s="14">
        <f t="shared" si="3"/>
        <v>80</v>
      </c>
      <c r="D353" s="14">
        <v>360</v>
      </c>
      <c r="E353" s="14">
        <f t="shared" si="4"/>
        <v>3</v>
      </c>
      <c r="F353" s="14">
        <v>945</v>
      </c>
      <c r="G353" s="14">
        <v>60</v>
      </c>
      <c r="H353" s="14">
        <v>47846</v>
      </c>
      <c r="I353" s="51" t="s">
        <v>16</v>
      </c>
      <c r="J353" s="14">
        <v>292.4</v>
      </c>
      <c r="K353" s="14">
        <v>32.6</v>
      </c>
      <c r="L353" s="14">
        <v>791.82</v>
      </c>
      <c r="M353" s="17">
        <v>0.955784899511135</v>
      </c>
      <c r="N353" s="14" t="s">
        <v>40</v>
      </c>
    </row>
    <row r="354" spans="1:14">
      <c r="A354" s="14">
        <v>120</v>
      </c>
      <c r="B354" s="14">
        <v>1.5</v>
      </c>
      <c r="C354" s="14">
        <f t="shared" ref="C354:C383" si="5">A354/B354</f>
        <v>80</v>
      </c>
      <c r="D354" s="14">
        <v>360</v>
      </c>
      <c r="E354" s="14">
        <f t="shared" ref="E354:E383" si="6">D354/A354</f>
        <v>3</v>
      </c>
      <c r="F354" s="14">
        <v>1006</v>
      </c>
      <c r="G354" s="14">
        <v>90</v>
      </c>
      <c r="H354" s="14">
        <v>77177</v>
      </c>
      <c r="I354" s="51" t="s">
        <v>16</v>
      </c>
      <c r="J354" s="14">
        <v>292.4</v>
      </c>
      <c r="K354" s="14">
        <v>32.6</v>
      </c>
      <c r="L354" s="14">
        <v>563.76</v>
      </c>
      <c r="M354" s="17">
        <v>0.680499728408474</v>
      </c>
      <c r="N354" s="14" t="s">
        <v>40</v>
      </c>
    </row>
    <row r="355" spans="1:14">
      <c r="A355" s="16">
        <v>120</v>
      </c>
      <c r="B355" s="16">
        <v>1.5</v>
      </c>
      <c r="C355" s="16">
        <f t="shared" si="5"/>
        <v>80</v>
      </c>
      <c r="D355" s="16">
        <v>360</v>
      </c>
      <c r="E355" s="16">
        <f t="shared" si="6"/>
        <v>3</v>
      </c>
      <c r="F355" s="16">
        <v>20</v>
      </c>
      <c r="G355" s="11">
        <v>0</v>
      </c>
      <c r="H355" s="16">
        <v>0</v>
      </c>
      <c r="I355" s="12" t="s">
        <v>14</v>
      </c>
      <c r="J355" s="16">
        <v>292.4</v>
      </c>
      <c r="K355" s="16">
        <v>42.3</v>
      </c>
      <c r="L355" s="16">
        <v>944.28</v>
      </c>
      <c r="M355" s="79">
        <v>1</v>
      </c>
      <c r="N355" s="14" t="s">
        <v>40</v>
      </c>
    </row>
    <row r="356" spans="1:14">
      <c r="A356" s="14">
        <v>120</v>
      </c>
      <c r="B356" s="14">
        <v>1.5</v>
      </c>
      <c r="C356" s="14">
        <f t="shared" si="5"/>
        <v>80</v>
      </c>
      <c r="D356" s="14">
        <v>360</v>
      </c>
      <c r="E356" s="14">
        <f t="shared" si="6"/>
        <v>3</v>
      </c>
      <c r="F356" s="14">
        <v>400</v>
      </c>
      <c r="G356" s="14">
        <v>68</v>
      </c>
      <c r="H356" s="14">
        <v>25600</v>
      </c>
      <c r="I356" s="51" t="s">
        <v>16</v>
      </c>
      <c r="J356" s="14">
        <v>292.4</v>
      </c>
      <c r="K356" s="14">
        <v>42.3</v>
      </c>
      <c r="L356" s="14">
        <v>906.48</v>
      </c>
      <c r="M356" s="17">
        <v>0.959969500571864</v>
      </c>
      <c r="N356" s="14" t="s">
        <v>40</v>
      </c>
    </row>
    <row r="357" spans="1:14">
      <c r="A357" s="14">
        <v>120</v>
      </c>
      <c r="B357" s="14">
        <v>1.5</v>
      </c>
      <c r="C357" s="14">
        <f t="shared" si="5"/>
        <v>80</v>
      </c>
      <c r="D357" s="14">
        <v>360</v>
      </c>
      <c r="E357" s="14">
        <f t="shared" si="6"/>
        <v>3</v>
      </c>
      <c r="F357" s="14">
        <v>842</v>
      </c>
      <c r="G357" s="14">
        <v>30</v>
      </c>
      <c r="H357" s="14">
        <v>20862</v>
      </c>
      <c r="I357" s="51" t="s">
        <v>16</v>
      </c>
      <c r="J357" s="14">
        <v>292.4</v>
      </c>
      <c r="K357" s="14">
        <v>42.3</v>
      </c>
      <c r="L357" s="14">
        <v>977.22</v>
      </c>
      <c r="M357" s="17">
        <v>1.03488372093023</v>
      </c>
      <c r="N357" s="14" t="s">
        <v>40</v>
      </c>
    </row>
    <row r="358" spans="1:14">
      <c r="A358" s="14">
        <v>120</v>
      </c>
      <c r="B358" s="14">
        <v>1.5</v>
      </c>
      <c r="C358" s="14">
        <f t="shared" si="5"/>
        <v>80</v>
      </c>
      <c r="D358" s="14">
        <v>360</v>
      </c>
      <c r="E358" s="14">
        <f t="shared" si="6"/>
        <v>3</v>
      </c>
      <c r="F358" s="14">
        <v>945</v>
      </c>
      <c r="G358" s="14">
        <v>60</v>
      </c>
      <c r="H358" s="14">
        <v>47846</v>
      </c>
      <c r="I358" s="51" t="s">
        <v>16</v>
      </c>
      <c r="J358" s="14">
        <v>292.4</v>
      </c>
      <c r="K358" s="14">
        <v>42.3</v>
      </c>
      <c r="L358" s="14">
        <v>840.78</v>
      </c>
      <c r="M358" s="17">
        <v>0.890392680137247</v>
      </c>
      <c r="N358" s="14" t="s">
        <v>40</v>
      </c>
    </row>
    <row r="359" spans="1:14">
      <c r="A359" s="14">
        <v>120</v>
      </c>
      <c r="B359" s="14">
        <v>1.5</v>
      </c>
      <c r="C359" s="14">
        <f t="shared" si="5"/>
        <v>80</v>
      </c>
      <c r="D359" s="14">
        <v>360</v>
      </c>
      <c r="E359" s="14">
        <f t="shared" si="6"/>
        <v>3</v>
      </c>
      <c r="F359" s="14">
        <v>1006</v>
      </c>
      <c r="G359" s="14">
        <v>90</v>
      </c>
      <c r="H359" s="14">
        <v>77177</v>
      </c>
      <c r="I359" s="51" t="s">
        <v>16</v>
      </c>
      <c r="J359" s="14">
        <v>292.4</v>
      </c>
      <c r="K359" s="14">
        <v>42.3</v>
      </c>
      <c r="L359" s="14">
        <v>603.45</v>
      </c>
      <c r="M359" s="17">
        <v>0.63905833015631</v>
      </c>
      <c r="N359" s="14" t="s">
        <v>40</v>
      </c>
    </row>
    <row r="360" spans="1:14">
      <c r="A360" s="16">
        <v>120</v>
      </c>
      <c r="B360" s="16">
        <v>2</v>
      </c>
      <c r="C360" s="16">
        <f t="shared" si="5"/>
        <v>60</v>
      </c>
      <c r="D360" s="16">
        <v>360</v>
      </c>
      <c r="E360" s="16">
        <f t="shared" si="6"/>
        <v>3</v>
      </c>
      <c r="F360" s="16">
        <v>20</v>
      </c>
      <c r="G360" s="11">
        <v>0</v>
      </c>
      <c r="H360" s="16">
        <v>0</v>
      </c>
      <c r="I360" s="12" t="s">
        <v>14</v>
      </c>
      <c r="J360" s="16">
        <v>289.5</v>
      </c>
      <c r="K360" s="16">
        <v>21.8</v>
      </c>
      <c r="L360" s="16">
        <v>1144.17</v>
      </c>
      <c r="M360" s="79">
        <v>1</v>
      </c>
      <c r="N360" s="14" t="s">
        <v>40</v>
      </c>
    </row>
    <row r="361" spans="1:14">
      <c r="A361" s="14">
        <v>120</v>
      </c>
      <c r="B361" s="14">
        <v>2</v>
      </c>
      <c r="C361" s="14">
        <f t="shared" si="5"/>
        <v>60</v>
      </c>
      <c r="D361" s="14">
        <v>360</v>
      </c>
      <c r="E361" s="14">
        <f t="shared" si="6"/>
        <v>3</v>
      </c>
      <c r="F361" s="14">
        <v>400</v>
      </c>
      <c r="G361" s="14">
        <v>68</v>
      </c>
      <c r="H361" s="14">
        <v>25600</v>
      </c>
      <c r="I361" s="51" t="s">
        <v>16</v>
      </c>
      <c r="J361" s="14">
        <v>289.5</v>
      </c>
      <c r="K361" s="14">
        <v>21.8</v>
      </c>
      <c r="L361" s="14">
        <v>1007.91</v>
      </c>
      <c r="M361" s="17">
        <v>0.880909305435381</v>
      </c>
      <c r="N361" s="14" t="s">
        <v>40</v>
      </c>
    </row>
    <row r="362" spans="1:14">
      <c r="A362" s="14">
        <v>120</v>
      </c>
      <c r="B362" s="14">
        <v>2</v>
      </c>
      <c r="C362" s="14">
        <f t="shared" si="5"/>
        <v>60</v>
      </c>
      <c r="D362" s="14">
        <v>360</v>
      </c>
      <c r="E362" s="14">
        <f t="shared" si="6"/>
        <v>3</v>
      </c>
      <c r="F362" s="14">
        <v>842</v>
      </c>
      <c r="G362" s="14">
        <v>30</v>
      </c>
      <c r="H362" s="14">
        <v>20862</v>
      </c>
      <c r="I362" s="51" t="s">
        <v>16</v>
      </c>
      <c r="J362" s="14">
        <v>289.5</v>
      </c>
      <c r="K362" s="14">
        <v>21.8</v>
      </c>
      <c r="L362" s="14">
        <v>1108.71</v>
      </c>
      <c r="M362" s="17">
        <v>0.969008101942893</v>
      </c>
      <c r="N362" s="14" t="s">
        <v>40</v>
      </c>
    </row>
    <row r="363" spans="1:14">
      <c r="A363" s="14">
        <v>120</v>
      </c>
      <c r="B363" s="14">
        <v>2</v>
      </c>
      <c r="C363" s="14">
        <f t="shared" si="5"/>
        <v>60</v>
      </c>
      <c r="D363" s="14">
        <v>360</v>
      </c>
      <c r="E363" s="14">
        <f t="shared" si="6"/>
        <v>3</v>
      </c>
      <c r="F363" s="14">
        <v>945</v>
      </c>
      <c r="G363" s="14">
        <v>60</v>
      </c>
      <c r="H363" s="14">
        <v>47846</v>
      </c>
      <c r="I363" s="51" t="s">
        <v>16</v>
      </c>
      <c r="J363" s="14">
        <v>289.5</v>
      </c>
      <c r="K363" s="14">
        <v>21.8</v>
      </c>
      <c r="L363" s="14">
        <v>990.18</v>
      </c>
      <c r="M363" s="17">
        <v>0.865413356406828</v>
      </c>
      <c r="N363" s="14" t="s">
        <v>40</v>
      </c>
    </row>
    <row r="364" spans="1:14">
      <c r="A364" s="14">
        <v>120</v>
      </c>
      <c r="B364" s="14">
        <v>2</v>
      </c>
      <c r="C364" s="14">
        <f t="shared" si="5"/>
        <v>60</v>
      </c>
      <c r="D364" s="14">
        <v>360</v>
      </c>
      <c r="E364" s="14">
        <f t="shared" si="6"/>
        <v>3</v>
      </c>
      <c r="F364" s="14">
        <v>1006</v>
      </c>
      <c r="G364" s="14">
        <v>90</v>
      </c>
      <c r="H364" s="14">
        <v>77177</v>
      </c>
      <c r="I364" s="51" t="s">
        <v>16</v>
      </c>
      <c r="J364" s="14">
        <v>289.5</v>
      </c>
      <c r="K364" s="14">
        <v>21.8</v>
      </c>
      <c r="L364" s="14">
        <v>661.59</v>
      </c>
      <c r="M364" s="17">
        <v>0.578227011720286</v>
      </c>
      <c r="N364" s="14" t="s">
        <v>40</v>
      </c>
    </row>
    <row r="365" spans="1:14">
      <c r="A365" s="16">
        <v>120</v>
      </c>
      <c r="B365" s="16">
        <v>2</v>
      </c>
      <c r="C365" s="16">
        <f t="shared" si="5"/>
        <v>60</v>
      </c>
      <c r="D365" s="16">
        <v>360</v>
      </c>
      <c r="E365" s="16">
        <f t="shared" si="6"/>
        <v>3</v>
      </c>
      <c r="F365" s="16">
        <v>20</v>
      </c>
      <c r="G365" s="11">
        <v>0</v>
      </c>
      <c r="H365" s="16">
        <v>0</v>
      </c>
      <c r="I365" s="12" t="s">
        <v>14</v>
      </c>
      <c r="J365" s="16">
        <v>289.5</v>
      </c>
      <c r="K365" s="16">
        <v>32.6</v>
      </c>
      <c r="L365" s="16">
        <v>1089.99</v>
      </c>
      <c r="M365" s="79">
        <v>1</v>
      </c>
      <c r="N365" s="14" t="s">
        <v>40</v>
      </c>
    </row>
    <row r="366" spans="1:14">
      <c r="A366" s="14">
        <v>120</v>
      </c>
      <c r="B366" s="14">
        <v>2</v>
      </c>
      <c r="C366" s="14">
        <f t="shared" si="5"/>
        <v>60</v>
      </c>
      <c r="D366" s="14">
        <v>360</v>
      </c>
      <c r="E366" s="14">
        <f t="shared" si="6"/>
        <v>3</v>
      </c>
      <c r="F366" s="14">
        <v>400</v>
      </c>
      <c r="G366" s="14">
        <v>68</v>
      </c>
      <c r="H366" s="14">
        <v>25600</v>
      </c>
      <c r="I366" s="51" t="s">
        <v>16</v>
      </c>
      <c r="J366" s="14">
        <v>289.5</v>
      </c>
      <c r="K366" s="14">
        <v>32.6</v>
      </c>
      <c r="L366" s="14">
        <v>1206.9</v>
      </c>
      <c r="M366" s="17">
        <v>1.10725786475105</v>
      </c>
      <c r="N366" s="14" t="s">
        <v>40</v>
      </c>
    </row>
    <row r="367" spans="1:14">
      <c r="A367" s="14">
        <v>120</v>
      </c>
      <c r="B367" s="14">
        <v>2</v>
      </c>
      <c r="C367" s="14">
        <f t="shared" si="5"/>
        <v>60</v>
      </c>
      <c r="D367" s="14">
        <v>360</v>
      </c>
      <c r="E367" s="14">
        <f t="shared" si="6"/>
        <v>3</v>
      </c>
      <c r="F367" s="14">
        <v>842</v>
      </c>
      <c r="G367" s="14">
        <v>30</v>
      </c>
      <c r="H367" s="14">
        <v>20862</v>
      </c>
      <c r="I367" s="51" t="s">
        <v>16</v>
      </c>
      <c r="J367" s="14">
        <v>289.5</v>
      </c>
      <c r="K367" s="14">
        <v>32.6</v>
      </c>
      <c r="L367" s="14">
        <v>1198.08</v>
      </c>
      <c r="M367" s="17">
        <v>1.09916604739493</v>
      </c>
      <c r="N367" s="14" t="s">
        <v>40</v>
      </c>
    </row>
    <row r="368" spans="1:14">
      <c r="A368" s="14">
        <v>120</v>
      </c>
      <c r="B368" s="14">
        <v>2</v>
      </c>
      <c r="C368" s="14">
        <f t="shared" si="5"/>
        <v>60</v>
      </c>
      <c r="D368" s="14">
        <v>360</v>
      </c>
      <c r="E368" s="14">
        <f t="shared" si="6"/>
        <v>3</v>
      </c>
      <c r="F368" s="14">
        <v>945</v>
      </c>
      <c r="G368" s="14">
        <v>60</v>
      </c>
      <c r="H368" s="14">
        <v>47846</v>
      </c>
      <c r="I368" s="51" t="s">
        <v>16</v>
      </c>
      <c r="J368" s="14">
        <v>289.5</v>
      </c>
      <c r="K368" s="14">
        <v>32.6</v>
      </c>
      <c r="L368" s="14">
        <v>1063.35</v>
      </c>
      <c r="M368" s="17">
        <v>0.975559408801915</v>
      </c>
      <c r="N368" s="14" t="s">
        <v>40</v>
      </c>
    </row>
    <row r="369" spans="1:14">
      <c r="A369" s="14">
        <v>120</v>
      </c>
      <c r="B369" s="14">
        <v>2</v>
      </c>
      <c r="C369" s="14">
        <f t="shared" si="5"/>
        <v>60</v>
      </c>
      <c r="D369" s="14">
        <v>360</v>
      </c>
      <c r="E369" s="14">
        <f t="shared" si="6"/>
        <v>3</v>
      </c>
      <c r="F369" s="14">
        <v>1006</v>
      </c>
      <c r="G369" s="14">
        <v>90</v>
      </c>
      <c r="H369" s="14">
        <v>77177</v>
      </c>
      <c r="I369" s="51" t="s">
        <v>16</v>
      </c>
      <c r="J369" s="14">
        <v>289.5</v>
      </c>
      <c r="K369" s="14">
        <v>32.6</v>
      </c>
      <c r="L369" s="14">
        <v>660.24</v>
      </c>
      <c r="M369" s="17">
        <v>0.605730327801173</v>
      </c>
      <c r="N369" s="14" t="s">
        <v>40</v>
      </c>
    </row>
    <row r="370" spans="1:14">
      <c r="A370" s="16">
        <v>120</v>
      </c>
      <c r="B370" s="16">
        <v>2</v>
      </c>
      <c r="C370" s="16">
        <f t="shared" si="5"/>
        <v>60</v>
      </c>
      <c r="D370" s="16">
        <v>360</v>
      </c>
      <c r="E370" s="16">
        <f t="shared" si="6"/>
        <v>3</v>
      </c>
      <c r="F370" s="16">
        <v>20</v>
      </c>
      <c r="G370" s="11">
        <v>0</v>
      </c>
      <c r="H370" s="16">
        <v>0</v>
      </c>
      <c r="I370" s="12" t="s">
        <v>14</v>
      </c>
      <c r="J370" s="16">
        <v>289.5</v>
      </c>
      <c r="K370" s="16">
        <v>42.3</v>
      </c>
      <c r="L370" s="16">
        <v>1232.82</v>
      </c>
      <c r="M370" s="79">
        <v>1</v>
      </c>
      <c r="N370" s="14" t="s">
        <v>40</v>
      </c>
    </row>
    <row r="371" spans="1:14">
      <c r="A371" s="14">
        <v>120</v>
      </c>
      <c r="B371" s="14">
        <v>2</v>
      </c>
      <c r="C371" s="14">
        <f t="shared" si="5"/>
        <v>60</v>
      </c>
      <c r="D371" s="14">
        <v>360</v>
      </c>
      <c r="E371" s="14">
        <f t="shared" si="6"/>
        <v>3</v>
      </c>
      <c r="F371" s="14">
        <v>400</v>
      </c>
      <c r="G371" s="14">
        <v>68</v>
      </c>
      <c r="H371" s="14">
        <v>25600</v>
      </c>
      <c r="I371" s="51" t="s">
        <v>16</v>
      </c>
      <c r="J371" s="14">
        <v>289.5</v>
      </c>
      <c r="K371" s="14">
        <v>42.3</v>
      </c>
      <c r="L371" s="14">
        <v>1189.71</v>
      </c>
      <c r="M371" s="17">
        <v>0.965031391444007</v>
      </c>
      <c r="N371" s="14" t="s">
        <v>40</v>
      </c>
    </row>
    <row r="372" spans="1:14">
      <c r="A372" s="14">
        <v>120</v>
      </c>
      <c r="B372" s="14">
        <v>2</v>
      </c>
      <c r="C372" s="14">
        <f t="shared" si="5"/>
        <v>60</v>
      </c>
      <c r="D372" s="14">
        <v>360</v>
      </c>
      <c r="E372" s="14">
        <f t="shared" si="6"/>
        <v>3</v>
      </c>
      <c r="F372" s="14">
        <v>842</v>
      </c>
      <c r="G372" s="14">
        <v>30</v>
      </c>
      <c r="H372" s="14">
        <v>20862</v>
      </c>
      <c r="I372" s="51" t="s">
        <v>16</v>
      </c>
      <c r="J372" s="14">
        <v>289.5</v>
      </c>
      <c r="K372" s="14">
        <v>42.3</v>
      </c>
      <c r="L372" s="14">
        <v>1238.94</v>
      </c>
      <c r="M372" s="17">
        <v>1.0049642283545</v>
      </c>
      <c r="N372" s="14" t="s">
        <v>40</v>
      </c>
    </row>
    <row r="373" spans="1:14">
      <c r="A373" s="14">
        <v>120</v>
      </c>
      <c r="B373" s="14">
        <v>2</v>
      </c>
      <c r="C373" s="14">
        <f t="shared" si="5"/>
        <v>60</v>
      </c>
      <c r="D373" s="14">
        <v>360</v>
      </c>
      <c r="E373" s="14">
        <f t="shared" si="6"/>
        <v>3</v>
      </c>
      <c r="F373" s="14">
        <v>945</v>
      </c>
      <c r="G373" s="14">
        <v>60</v>
      </c>
      <c r="H373" s="14">
        <v>47846</v>
      </c>
      <c r="I373" s="51" t="s">
        <v>16</v>
      </c>
      <c r="J373" s="14">
        <v>289.5</v>
      </c>
      <c r="K373" s="14">
        <v>42.3</v>
      </c>
      <c r="L373" s="14">
        <v>1189.71</v>
      </c>
      <c r="M373" s="17">
        <v>0.965031391444007</v>
      </c>
      <c r="N373" s="14" t="s">
        <v>40</v>
      </c>
    </row>
    <row r="374" spans="1:14">
      <c r="A374" s="14">
        <v>120</v>
      </c>
      <c r="B374" s="14">
        <v>2</v>
      </c>
      <c r="C374" s="14">
        <f t="shared" si="5"/>
        <v>60</v>
      </c>
      <c r="D374" s="14">
        <v>360</v>
      </c>
      <c r="E374" s="14">
        <f t="shared" si="6"/>
        <v>3</v>
      </c>
      <c r="F374" s="14">
        <v>1006</v>
      </c>
      <c r="G374" s="14">
        <v>90</v>
      </c>
      <c r="H374" s="14">
        <v>77177</v>
      </c>
      <c r="I374" s="51" t="s">
        <v>16</v>
      </c>
      <c r="J374" s="14">
        <v>289.5</v>
      </c>
      <c r="K374" s="14">
        <v>42.3</v>
      </c>
      <c r="L374" s="14">
        <v>740.97</v>
      </c>
      <c r="M374" s="17">
        <v>0.601036647685794</v>
      </c>
      <c r="N374" s="14" t="s">
        <v>40</v>
      </c>
    </row>
    <row r="375" spans="1:14">
      <c r="A375" s="14">
        <v>120</v>
      </c>
      <c r="B375" s="14">
        <v>1</v>
      </c>
      <c r="C375" s="14">
        <f t="shared" si="5"/>
        <v>120</v>
      </c>
      <c r="D375" s="14">
        <v>360</v>
      </c>
      <c r="E375" s="14">
        <f t="shared" si="6"/>
        <v>3</v>
      </c>
      <c r="F375" s="14">
        <v>945</v>
      </c>
      <c r="G375" s="14">
        <v>60</v>
      </c>
      <c r="H375" s="14">
        <v>47846</v>
      </c>
      <c r="I375" s="51" t="s">
        <v>20</v>
      </c>
      <c r="J375" s="14">
        <v>312.5</v>
      </c>
      <c r="K375" s="14">
        <v>32.6</v>
      </c>
      <c r="L375" s="14">
        <v>638.82</v>
      </c>
      <c r="M375" s="17">
        <v>0.843694282657792</v>
      </c>
      <c r="N375" s="14" t="s">
        <v>40</v>
      </c>
    </row>
    <row r="376" spans="1:14">
      <c r="A376" s="14">
        <v>120</v>
      </c>
      <c r="B376" s="14">
        <v>1.2</v>
      </c>
      <c r="C376" s="14">
        <f t="shared" si="5"/>
        <v>100</v>
      </c>
      <c r="D376" s="14">
        <v>360</v>
      </c>
      <c r="E376" s="14">
        <f t="shared" si="6"/>
        <v>3</v>
      </c>
      <c r="F376" s="14">
        <v>945</v>
      </c>
      <c r="G376" s="14">
        <v>60</v>
      </c>
      <c r="H376" s="14">
        <v>47846</v>
      </c>
      <c r="I376" s="51" t="s">
        <v>20</v>
      </c>
      <c r="J376" s="14">
        <v>301.6</v>
      </c>
      <c r="K376" s="14">
        <v>32.6</v>
      </c>
      <c r="L376" s="14">
        <v>736.65</v>
      </c>
      <c r="M376" s="17">
        <v>0.922669372111374</v>
      </c>
      <c r="N376" s="14" t="s">
        <v>40</v>
      </c>
    </row>
    <row r="377" spans="1:14">
      <c r="A377" s="14">
        <v>120</v>
      </c>
      <c r="B377" s="14">
        <v>1.5</v>
      </c>
      <c r="C377" s="14">
        <f t="shared" si="5"/>
        <v>80</v>
      </c>
      <c r="D377" s="14">
        <v>360</v>
      </c>
      <c r="E377" s="14">
        <f t="shared" si="6"/>
        <v>3</v>
      </c>
      <c r="F377" s="14">
        <v>945</v>
      </c>
      <c r="G377" s="14">
        <v>60</v>
      </c>
      <c r="H377" s="14">
        <v>47846</v>
      </c>
      <c r="I377" s="51" t="s">
        <v>20</v>
      </c>
      <c r="J377" s="14">
        <v>292.4</v>
      </c>
      <c r="K377" s="14">
        <v>21.8</v>
      </c>
      <c r="L377" s="14">
        <v>693.36</v>
      </c>
      <c r="M377" s="17">
        <v>0.878248974008208</v>
      </c>
      <c r="N377" s="14" t="s">
        <v>40</v>
      </c>
    </row>
    <row r="378" spans="1:14">
      <c r="A378" s="14">
        <v>120</v>
      </c>
      <c r="B378" s="14">
        <v>1.5</v>
      </c>
      <c r="C378" s="14">
        <f t="shared" si="5"/>
        <v>80</v>
      </c>
      <c r="D378" s="14">
        <v>360</v>
      </c>
      <c r="E378" s="14">
        <f t="shared" si="6"/>
        <v>3</v>
      </c>
      <c r="F378" s="14">
        <v>400</v>
      </c>
      <c r="G378" s="14">
        <v>68</v>
      </c>
      <c r="H378" s="14">
        <v>25600</v>
      </c>
      <c r="I378" s="51" t="s">
        <v>20</v>
      </c>
      <c r="J378" s="14">
        <v>292.4</v>
      </c>
      <c r="K378" s="14">
        <v>32.6</v>
      </c>
      <c r="L378" s="14">
        <v>744.12</v>
      </c>
      <c r="M378" s="17">
        <v>0.898207495926127</v>
      </c>
      <c r="N378" s="14" t="s">
        <v>40</v>
      </c>
    </row>
    <row r="379" spans="1:14">
      <c r="A379" s="14">
        <v>120</v>
      </c>
      <c r="B379" s="14">
        <v>1.5</v>
      </c>
      <c r="C379" s="14">
        <f t="shared" si="5"/>
        <v>80</v>
      </c>
      <c r="D379" s="14">
        <v>360</v>
      </c>
      <c r="E379" s="14">
        <f t="shared" si="6"/>
        <v>3</v>
      </c>
      <c r="F379" s="14">
        <v>842</v>
      </c>
      <c r="G379" s="14">
        <v>30</v>
      </c>
      <c r="H379" s="14">
        <v>20862</v>
      </c>
      <c r="I379" s="51" t="s">
        <v>20</v>
      </c>
      <c r="J379" s="14">
        <v>292.4</v>
      </c>
      <c r="K379" s="14">
        <v>32.6</v>
      </c>
      <c r="L379" s="14">
        <v>772.65</v>
      </c>
      <c r="M379" s="17">
        <v>0.932645301466594</v>
      </c>
      <c r="N379" s="14" t="s">
        <v>40</v>
      </c>
    </row>
    <row r="380" spans="1:14">
      <c r="A380" s="14">
        <v>120</v>
      </c>
      <c r="B380" s="14">
        <v>1.5</v>
      </c>
      <c r="C380" s="14">
        <f t="shared" si="5"/>
        <v>80</v>
      </c>
      <c r="D380" s="14">
        <v>360</v>
      </c>
      <c r="E380" s="14">
        <f t="shared" si="6"/>
        <v>3</v>
      </c>
      <c r="F380" s="14">
        <v>945</v>
      </c>
      <c r="G380" s="14">
        <v>60</v>
      </c>
      <c r="H380" s="14">
        <v>47846</v>
      </c>
      <c r="I380" s="51" t="s">
        <v>20</v>
      </c>
      <c r="J380" s="14">
        <v>292.4</v>
      </c>
      <c r="K380" s="14">
        <v>32.6</v>
      </c>
      <c r="L380" s="14">
        <v>705.42</v>
      </c>
      <c r="M380" s="17">
        <v>0.851493753394894</v>
      </c>
      <c r="N380" s="14" t="s">
        <v>40</v>
      </c>
    </row>
    <row r="381" spans="1:14">
      <c r="A381" s="14">
        <v>120</v>
      </c>
      <c r="B381" s="14">
        <v>1.5</v>
      </c>
      <c r="C381" s="14">
        <f t="shared" si="5"/>
        <v>80</v>
      </c>
      <c r="D381" s="14">
        <v>360</v>
      </c>
      <c r="E381" s="14">
        <f t="shared" si="6"/>
        <v>3</v>
      </c>
      <c r="F381" s="14">
        <v>1006</v>
      </c>
      <c r="G381" s="14">
        <v>90</v>
      </c>
      <c r="H381" s="14">
        <v>77177</v>
      </c>
      <c r="I381" s="51" t="s">
        <v>20</v>
      </c>
      <c r="J381" s="14">
        <v>292.4</v>
      </c>
      <c r="K381" s="14">
        <v>32.6</v>
      </c>
      <c r="L381" s="14">
        <v>480.51</v>
      </c>
      <c r="M381" s="17">
        <v>0.580010863661054</v>
      </c>
      <c r="N381" s="14" t="s">
        <v>40</v>
      </c>
    </row>
    <row r="382" spans="1:14">
      <c r="A382" s="14">
        <v>120</v>
      </c>
      <c r="B382" s="14">
        <v>1.5</v>
      </c>
      <c r="C382" s="14">
        <f t="shared" si="5"/>
        <v>80</v>
      </c>
      <c r="D382" s="14">
        <v>360</v>
      </c>
      <c r="E382" s="14">
        <f t="shared" si="6"/>
        <v>3</v>
      </c>
      <c r="F382" s="14">
        <v>945</v>
      </c>
      <c r="G382" s="14">
        <v>60</v>
      </c>
      <c r="H382" s="14">
        <v>47846</v>
      </c>
      <c r="I382" s="51" t="s">
        <v>20</v>
      </c>
      <c r="J382" s="14">
        <v>292.4</v>
      </c>
      <c r="K382" s="14">
        <v>42.3</v>
      </c>
      <c r="L382" s="14">
        <v>748.8</v>
      </c>
      <c r="M382" s="17">
        <v>0.792985131528784</v>
      </c>
      <c r="N382" s="14" t="s">
        <v>40</v>
      </c>
    </row>
    <row r="383" spans="1:14">
      <c r="A383" s="14">
        <v>120</v>
      </c>
      <c r="B383" s="14">
        <v>2</v>
      </c>
      <c r="C383" s="14">
        <f t="shared" si="5"/>
        <v>60</v>
      </c>
      <c r="D383" s="14">
        <v>360</v>
      </c>
      <c r="E383" s="14">
        <f t="shared" si="6"/>
        <v>3</v>
      </c>
      <c r="F383" s="14">
        <v>945</v>
      </c>
      <c r="G383" s="14">
        <v>60</v>
      </c>
      <c r="H383" s="14">
        <v>47846</v>
      </c>
      <c r="I383" s="51" t="s">
        <v>20</v>
      </c>
      <c r="J383" s="14">
        <v>289.5</v>
      </c>
      <c r="K383" s="14">
        <v>32.6</v>
      </c>
      <c r="L383" s="14">
        <v>959.31</v>
      </c>
      <c r="M383" s="17">
        <v>0.880108991825613</v>
      </c>
      <c r="N383" s="14" t="s">
        <v>40</v>
      </c>
    </row>
  </sheetData>
  <mergeCells count="10">
    <mergeCell ref="O2:O26"/>
    <mergeCell ref="O59:O77"/>
    <mergeCell ref="O78:O87"/>
    <mergeCell ref="O88:O114"/>
    <mergeCell ref="O163:O171"/>
    <mergeCell ref="O172:O201"/>
    <mergeCell ref="O202:O231"/>
    <mergeCell ref="O232:O243"/>
    <mergeCell ref="O251:O277"/>
    <mergeCell ref="O278:O28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Demons</cp:lastModifiedBy>
  <dcterms:created xsi:type="dcterms:W3CDTF">2026-06-30T09:56:00Z</dcterms:created>
  <dcterms:modified xsi:type="dcterms:W3CDTF">2026-07-05T03:40:27Z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CB5FF403DEB142F3B43EC26805A4C147_12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