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zy\Desktop\JCME\在线数据库\"/>
    </mc:Choice>
  </mc:AlternateContent>
  <xr:revisionPtr revIDLastSave="0" documentId="13_ncr:1_{CA0B7C33-999B-41C1-8FB2-5AC7F9B4FB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1" r:id="rId1"/>
  </sheets>
  <definedNames>
    <definedName name="_xlnm._FilterDatabase" localSheetId="0" hidden="1">Sheet2!$J$1:$N$486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51" i="1" l="1"/>
  <c r="H451" i="1"/>
  <c r="N450" i="1"/>
  <c r="H450" i="1"/>
  <c r="N449" i="1"/>
  <c r="H449" i="1"/>
  <c r="H448" i="1"/>
  <c r="N447" i="1" a="1"/>
  <c r="N447" i="1" s="1"/>
  <c r="H447" i="1"/>
  <c r="H446" i="1"/>
  <c r="H445" i="1"/>
  <c r="H444" i="1"/>
  <c r="H443" i="1"/>
  <c r="N442" i="1" a="1"/>
  <c r="N442" i="1" s="1"/>
  <c r="H442" i="1"/>
  <c r="H441" i="1"/>
  <c r="H440" i="1"/>
  <c r="H439" i="1"/>
  <c r="H438" i="1"/>
  <c r="N437" i="1" a="1"/>
  <c r="N437" i="1" s="1"/>
  <c r="H437" i="1"/>
  <c r="H436" i="1"/>
  <c r="H435" i="1"/>
  <c r="H434" i="1"/>
  <c r="H433" i="1"/>
  <c r="N432" i="1" a="1"/>
  <c r="N432" i="1" s="1"/>
  <c r="H432" i="1"/>
  <c r="N431" i="1"/>
  <c r="N430" i="1"/>
  <c r="N429" i="1"/>
  <c r="N428" i="1"/>
  <c r="N427" i="1"/>
  <c r="F427" i="1" a="1"/>
  <c r="F427" i="1" s="1"/>
  <c r="D427" i="1" a="1"/>
  <c r="D427" i="1" s="1"/>
  <c r="N426" i="1"/>
  <c r="N425" i="1"/>
  <c r="N423" i="1" a="1"/>
  <c r="N423" i="1" s="1"/>
  <c r="N419" i="1" a="1"/>
  <c r="N419" i="1" s="1"/>
  <c r="N414" i="1" a="1"/>
  <c r="N414" i="1" s="1"/>
  <c r="N409" i="1" a="1"/>
  <c r="N409" i="1" s="1"/>
  <c r="F408" i="1" a="1"/>
  <c r="F408" i="1" s="1"/>
  <c r="D408" i="1" a="1"/>
  <c r="D408" i="1" s="1"/>
  <c r="F407" i="1"/>
  <c r="D407" i="1"/>
  <c r="F406" i="1"/>
  <c r="D406" i="1"/>
  <c r="F405" i="1"/>
  <c r="D405" i="1"/>
  <c r="F404" i="1"/>
  <c r="D404" i="1"/>
  <c r="F403" i="1"/>
  <c r="D403" i="1"/>
  <c r="N402" i="1" a="1"/>
  <c r="N402" i="1" s="1"/>
  <c r="F402" i="1"/>
  <c r="D402" i="1"/>
  <c r="F401" i="1"/>
  <c r="D401" i="1"/>
  <c r="F400" i="1"/>
  <c r="D400" i="1"/>
  <c r="F399" i="1"/>
  <c r="D399" i="1"/>
  <c r="N398" i="1" a="1"/>
  <c r="N398" i="1" s="1"/>
  <c r="F398" i="1"/>
  <c r="D398" i="1"/>
  <c r="F397" i="1"/>
  <c r="D397" i="1"/>
  <c r="F396" i="1"/>
  <c r="D396" i="1"/>
  <c r="F395" i="1"/>
  <c r="D395" i="1"/>
  <c r="N394" i="1" a="1"/>
  <c r="N394" i="1" s="1"/>
  <c r="F394" i="1"/>
  <c r="D394" i="1"/>
  <c r="F393" i="1"/>
  <c r="D393" i="1"/>
  <c r="F392" i="1"/>
  <c r="D392" i="1"/>
  <c r="F391" i="1"/>
  <c r="D391" i="1"/>
  <c r="F390" i="1"/>
  <c r="D390" i="1"/>
  <c r="F389" i="1"/>
  <c r="D389" i="1"/>
  <c r="N388" i="1" a="1"/>
  <c r="N388" i="1" s="1"/>
  <c r="F388" i="1"/>
  <c r="D388" i="1"/>
  <c r="F387" i="1"/>
  <c r="D387" i="1"/>
  <c r="F386" i="1"/>
  <c r="D386" i="1"/>
  <c r="F385" i="1"/>
  <c r="D385" i="1"/>
  <c r="N384" i="1" a="1"/>
  <c r="N384" i="1" s="1"/>
  <c r="F384" i="1"/>
  <c r="D384" i="1"/>
  <c r="F383" i="1"/>
  <c r="D383" i="1"/>
  <c r="F382" i="1"/>
  <c r="D382" i="1"/>
  <c r="F381" i="1"/>
  <c r="D381" i="1"/>
  <c r="F380" i="1"/>
  <c r="D380" i="1"/>
  <c r="F379" i="1"/>
  <c r="D379" i="1"/>
  <c r="F378" i="1"/>
  <c r="D378" i="1"/>
  <c r="F377" i="1"/>
  <c r="D377" i="1"/>
  <c r="F376" i="1"/>
  <c r="D376" i="1"/>
  <c r="F375" i="1"/>
  <c r="D375" i="1"/>
  <c r="F374" i="1"/>
  <c r="D374" i="1"/>
  <c r="F373" i="1"/>
  <c r="D373" i="1"/>
  <c r="F372" i="1"/>
  <c r="D372" i="1"/>
  <c r="F371" i="1"/>
  <c r="D371" i="1"/>
  <c r="F370" i="1"/>
  <c r="D370" i="1"/>
  <c r="F369" i="1"/>
  <c r="D369" i="1"/>
  <c r="F368" i="1"/>
  <c r="D368" i="1"/>
  <c r="F367" i="1"/>
  <c r="D367" i="1"/>
  <c r="F366" i="1"/>
  <c r="D366" i="1"/>
  <c r="F365" i="1"/>
  <c r="D365" i="1"/>
  <c r="F364" i="1"/>
  <c r="D364" i="1"/>
  <c r="F363" i="1"/>
  <c r="D363" i="1"/>
  <c r="F362" i="1"/>
  <c r="D362" i="1"/>
  <c r="F361" i="1"/>
  <c r="D361" i="1"/>
  <c r="F360" i="1"/>
  <c r="D360" i="1"/>
  <c r="F359" i="1"/>
  <c r="D359" i="1"/>
  <c r="F358" i="1"/>
  <c r="D358" i="1"/>
  <c r="F357" i="1"/>
  <c r="D357" i="1"/>
  <c r="F356" i="1"/>
  <c r="D356" i="1"/>
  <c r="F355" i="1"/>
  <c r="D355" i="1"/>
  <c r="F354" i="1"/>
  <c r="D354" i="1"/>
  <c r="F353" i="1"/>
  <c r="D353" i="1"/>
  <c r="F352" i="1"/>
  <c r="D352" i="1"/>
  <c r="F351" i="1"/>
  <c r="D351" i="1"/>
  <c r="F350" i="1"/>
  <c r="D350" i="1"/>
  <c r="F349" i="1"/>
  <c r="D349" i="1"/>
  <c r="F348" i="1"/>
  <c r="D348" i="1"/>
  <c r="F347" i="1"/>
  <c r="D347" i="1"/>
  <c r="F346" i="1"/>
  <c r="D346" i="1"/>
  <c r="F345" i="1"/>
  <c r="D345" i="1"/>
  <c r="F344" i="1"/>
  <c r="D344" i="1"/>
  <c r="F343" i="1"/>
  <c r="D343" i="1"/>
  <c r="F342" i="1"/>
  <c r="D342" i="1"/>
  <c r="F341" i="1"/>
  <c r="D341" i="1"/>
  <c r="F340" i="1"/>
  <c r="D340" i="1"/>
  <c r="F339" i="1"/>
  <c r="D339" i="1"/>
  <c r="F338" i="1"/>
  <c r="D338" i="1"/>
  <c r="F337" i="1"/>
  <c r="D337" i="1"/>
  <c r="F336" i="1"/>
  <c r="D336" i="1"/>
  <c r="F335" i="1"/>
  <c r="D335" i="1"/>
  <c r="F334" i="1"/>
  <c r="D334" i="1"/>
  <c r="F333" i="1"/>
  <c r="D333" i="1"/>
  <c r="F332" i="1"/>
  <c r="D332" i="1"/>
  <c r="F331" i="1"/>
  <c r="D331" i="1"/>
  <c r="F330" i="1"/>
  <c r="D330" i="1"/>
  <c r="F329" i="1"/>
  <c r="D329" i="1"/>
  <c r="F328" i="1"/>
  <c r="D328" i="1"/>
  <c r="F327" i="1"/>
  <c r="D327" i="1"/>
  <c r="F326" i="1"/>
  <c r="D326" i="1"/>
  <c r="F325" i="1"/>
  <c r="D325" i="1"/>
  <c r="F324" i="1"/>
  <c r="D324" i="1"/>
  <c r="F323" i="1"/>
  <c r="D323" i="1"/>
  <c r="F322" i="1"/>
  <c r="D322" i="1"/>
  <c r="F321" i="1"/>
  <c r="D321" i="1"/>
  <c r="F320" i="1"/>
  <c r="D320" i="1"/>
  <c r="F319" i="1"/>
  <c r="D319" i="1"/>
  <c r="F318" i="1"/>
  <c r="D318" i="1"/>
  <c r="F317" i="1"/>
  <c r="D317" i="1"/>
  <c r="F316" i="1"/>
  <c r="D316" i="1"/>
  <c r="F315" i="1"/>
  <c r="D315" i="1"/>
  <c r="F314" i="1"/>
  <c r="D314" i="1"/>
  <c r="F313" i="1"/>
  <c r="D313" i="1"/>
  <c r="F312" i="1"/>
  <c r="D312" i="1"/>
  <c r="F311" i="1"/>
  <c r="D311" i="1"/>
  <c r="F310" i="1"/>
  <c r="D310" i="1"/>
  <c r="F309" i="1"/>
  <c r="D309" i="1"/>
  <c r="F308" i="1"/>
  <c r="D308" i="1"/>
  <c r="F307" i="1"/>
  <c r="D307" i="1"/>
  <c r="F306" i="1"/>
  <c r="D306" i="1"/>
  <c r="F305" i="1"/>
  <c r="D305" i="1"/>
  <c r="F304" i="1"/>
  <c r="D304" i="1"/>
  <c r="F303" i="1"/>
  <c r="D303" i="1"/>
  <c r="F302" i="1"/>
  <c r="D302" i="1"/>
  <c r="F301" i="1"/>
  <c r="D301" i="1"/>
  <c r="F300" i="1"/>
  <c r="D300" i="1"/>
  <c r="F299" i="1"/>
  <c r="D299" i="1"/>
  <c r="F298" i="1"/>
  <c r="D298" i="1"/>
  <c r="F297" i="1"/>
  <c r="D297" i="1"/>
  <c r="F296" i="1"/>
  <c r="D296" i="1"/>
  <c r="F295" i="1"/>
  <c r="D295" i="1"/>
  <c r="F294" i="1"/>
  <c r="D294" i="1"/>
  <c r="F293" i="1"/>
  <c r="D293" i="1"/>
  <c r="F292" i="1"/>
  <c r="D292" i="1"/>
  <c r="F291" i="1"/>
  <c r="D291" i="1"/>
  <c r="F290" i="1"/>
  <c r="D290" i="1"/>
  <c r="F289" i="1"/>
  <c r="F288" i="1"/>
  <c r="F287" i="1"/>
  <c r="F286" i="1"/>
  <c r="F285" i="1"/>
  <c r="F284" i="1"/>
  <c r="F283" i="1"/>
  <c r="F282" i="1"/>
  <c r="F281" i="1"/>
  <c r="F280" i="1"/>
  <c r="F279" i="1"/>
  <c r="F278" i="1" a="1"/>
  <c r="F278" i="1"/>
  <c r="D289" i="1"/>
  <c r="D288" i="1"/>
  <c r="D287" i="1"/>
  <c r="D286" i="1"/>
  <c r="D285" i="1"/>
  <c r="D284" i="1"/>
  <c r="D283" i="1"/>
  <c r="D282" i="1"/>
  <c r="D281" i="1"/>
  <c r="D280" i="1"/>
  <c r="D279" i="1"/>
  <c r="D278" i="1" a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 a="1"/>
  <c r="D251" i="1"/>
  <c r="H250" i="1"/>
  <c r="D250" i="1"/>
  <c r="H249" i="1"/>
  <c r="D249" i="1"/>
  <c r="D248" i="1"/>
  <c r="H247" i="1"/>
  <c r="D247" i="1"/>
  <c r="H246" i="1"/>
  <c r="D246" i="1"/>
  <c r="H245" i="1"/>
  <c r="D245" i="1"/>
  <c r="D244" i="1"/>
  <c r="I243" i="1"/>
  <c r="I242" i="1"/>
  <c r="I241" i="1" a="1"/>
  <c r="I241" i="1"/>
  <c r="H243" i="1"/>
  <c r="H242" i="1"/>
  <c r="H241" i="1" a="1"/>
  <c r="H241" i="1"/>
  <c r="I239" i="1"/>
  <c r="I238" i="1"/>
  <c r="I237" i="1" a="1"/>
  <c r="I237" i="1"/>
  <c r="H239" i="1"/>
  <c r="H238" i="1"/>
  <c r="H237" i="1" a="1"/>
  <c r="H237" i="1"/>
  <c r="I235" i="1"/>
  <c r="I234" i="1"/>
  <c r="I233" i="1" a="1"/>
  <c r="I233" i="1"/>
  <c r="H235" i="1"/>
  <c r="H234" i="1"/>
  <c r="H233" i="1" a="1"/>
  <c r="H233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 a="1"/>
  <c r="D202" i="1"/>
  <c r="D201" i="1"/>
  <c r="D200" i="1"/>
  <c r="D199" i="1"/>
  <c r="D198" i="1"/>
  <c r="D197" i="1"/>
  <c r="D196" i="1" a="1"/>
  <c r="D196" i="1"/>
  <c r="D195" i="1"/>
  <c r="D194" i="1"/>
  <c r="D193" i="1"/>
  <c r="D192" i="1"/>
  <c r="D191" i="1"/>
  <c r="D190" i="1" a="1"/>
  <c r="D190" i="1"/>
  <c r="D189" i="1"/>
  <c r="D188" i="1"/>
  <c r="D187" i="1"/>
  <c r="D186" i="1"/>
  <c r="D185" i="1"/>
  <c r="D184" i="1" a="1"/>
  <c r="D184" i="1"/>
  <c r="D183" i="1"/>
  <c r="D182" i="1"/>
  <c r="D181" i="1"/>
  <c r="D180" i="1"/>
  <c r="D179" i="1"/>
  <c r="D178" i="1" a="1"/>
  <c r="D178" i="1"/>
  <c r="D177" i="1"/>
  <c r="D176" i="1"/>
  <c r="D175" i="1"/>
  <c r="D174" i="1"/>
  <c r="D173" i="1"/>
  <c r="D172" i="1" a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 a="1"/>
  <c r="D139" i="1"/>
  <c r="I138" i="1"/>
  <c r="D138" i="1"/>
  <c r="I137" i="1"/>
  <c r="D137" i="1"/>
  <c r="I136" i="1"/>
  <c r="D136" i="1"/>
  <c r="I135" i="1"/>
  <c r="D135" i="1"/>
  <c r="I134" i="1"/>
  <c r="D134" i="1"/>
  <c r="I133" i="1"/>
  <c r="D133" i="1"/>
  <c r="I132" i="1"/>
  <c r="D132" i="1"/>
  <c r="I131" i="1"/>
  <c r="D131" i="1"/>
  <c r="D130" i="1"/>
  <c r="D129" i="1"/>
  <c r="D128" i="1"/>
  <c r="D127" i="1"/>
  <c r="I126" i="1"/>
  <c r="D126" i="1"/>
  <c r="I125" i="1"/>
  <c r="D125" i="1"/>
  <c r="I124" i="1"/>
  <c r="D124" i="1"/>
  <c r="I123" i="1"/>
  <c r="D123" i="1"/>
  <c r="I122" i="1"/>
  <c r="D122" i="1"/>
  <c r="I121" i="1"/>
  <c r="D121" i="1"/>
  <c r="I120" i="1"/>
  <c r="D120" i="1"/>
  <c r="I119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 a="1"/>
  <c r="D88" i="1"/>
  <c r="I87" i="1"/>
  <c r="I86" i="1"/>
  <c r="I85" i="1"/>
  <c r="I84" i="1" a="1"/>
  <c r="I84" i="1"/>
  <c r="H87" i="1"/>
  <c r="H86" i="1"/>
  <c r="H85" i="1"/>
  <c r="H84" i="1" a="1"/>
  <c r="H84" i="1"/>
  <c r="I82" i="1"/>
  <c r="I81" i="1"/>
  <c r="I80" i="1"/>
  <c r="I79" i="1" a="1"/>
  <c r="I79" i="1"/>
  <c r="H82" i="1"/>
  <c r="H81" i="1"/>
  <c r="H80" i="1"/>
  <c r="H79" i="1" a="1"/>
  <c r="H79" i="1"/>
  <c r="H58" i="1"/>
  <c r="H57" i="1"/>
  <c r="H56" i="1"/>
  <c r="H55" i="1"/>
  <c r="H54" i="1"/>
  <c r="H53" i="1"/>
  <c r="H52" i="1"/>
  <c r="H51" i="1"/>
  <c r="H50" i="1"/>
  <c r="H49" i="1"/>
  <c r="H48" i="1" a="1"/>
  <c r="H4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 a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<sst xmlns="http://schemas.openxmlformats.org/spreadsheetml/2006/main" count="1396" uniqueCount="496">
  <si>
    <t>No</t>
  </si>
  <si>
    <t>D</t>
  </si>
  <si>
    <t>ts</t>
  </si>
  <si>
    <t>D/ts</t>
  </si>
  <si>
    <t>H</t>
  </si>
  <si>
    <t>H/D</t>
  </si>
  <si>
    <t>Tmax</t>
  </si>
  <si>
    <t>th</t>
  </si>
  <si>
    <t>TEI</t>
  </si>
  <si>
    <t>CM</t>
  </si>
  <si>
    <t>FY</t>
  </si>
  <si>
    <t>FC</t>
  </si>
  <si>
    <t>NUT</t>
  </si>
  <si>
    <t>NUT/NUO</t>
  </si>
  <si>
    <t>source paper</t>
  </si>
  <si>
    <t>P01-001</t>
  </si>
  <si>
    <t>UN</t>
  </si>
  <si>
    <t>Experimental behavior of axially loaded circular high-strength concrete-filled high-strength steel tubular stub columns after exposure to fire</t>
  </si>
  <si>
    <t>P01-002</t>
  </si>
  <si>
    <t>P01-003</t>
  </si>
  <si>
    <t>P01-004</t>
  </si>
  <si>
    <t>NC</t>
  </si>
  <si>
    <t>P01-005</t>
  </si>
  <si>
    <t>P01-006</t>
  </si>
  <si>
    <t>P01-007</t>
  </si>
  <si>
    <t>P01-008</t>
  </si>
  <si>
    <t>P01-009</t>
  </si>
  <si>
    <t>P01-010</t>
  </si>
  <si>
    <t>P01-011</t>
  </si>
  <si>
    <t>P01-012</t>
  </si>
  <si>
    <t>P01-013</t>
  </si>
  <si>
    <t>P01-014</t>
  </si>
  <si>
    <t>P01-015</t>
  </si>
  <si>
    <t>P01-016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</si>
  <si>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</si>
  <si>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</si>
  <si>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</si>
  <si>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</si>
  <si>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</si>
  <si>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</si>
  <si>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</si>
  <si>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</si>
  <si>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</si>
  <si>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P02-001</t>
  </si>
  <si>
    <t>Axial compression performance of rubberized concrete-filled steel tubular stub columns after fire exposure</t>
  </si>
  <si>
    <t>P02-002</t>
  </si>
  <si>
    <t>P02-003</t>
  </si>
  <si>
    <t>P02-004</t>
  </si>
  <si>
    <t>P02-005</t>
  </si>
  <si>
    <t>P02-006</t>
  </si>
  <si>
    <t>P02-007</t>
  </si>
  <si>
    <t>P02-008</t>
  </si>
  <si>
    <t>P02-009</t>
  </si>
  <si>
    <t>P02-010</t>
  </si>
  <si>
    <t>P02-011</t>
  </si>
  <si>
    <t>P02-012</t>
  </si>
  <si>
    <t>P02-013</t>
  </si>
  <si>
    <t>P02-014</t>
  </si>
  <si>
    <t>P02-015</t>
  </si>
  <si>
    <t>P02-016</t>
  </si>
  <si>
    <t>90</t>
  </si>
  <si>
    <t>P03-001</t>
  </si>
  <si>
    <t>Experimental study on the axial behavior of UHPC filled high-strength circular steel tube columns after post-fire rapid cooling</t>
  </si>
  <si>
    <t>P03-002</t>
  </si>
  <si>
    <t>P03-003</t>
  </si>
  <si>
    <t>P03-004</t>
  </si>
  <si>
    <t>P03-005</t>
  </si>
  <si>
    <t>P03-006</t>
  </si>
  <si>
    <t>WC</t>
  </si>
  <si>
    <t>P03-007</t>
  </si>
  <si>
    <t>P03-008</t>
  </si>
  <si>
    <t>P03-009</t>
  </si>
  <si>
    <t>P03-010</t>
  </si>
  <si>
    <t>P03-011</t>
  </si>
  <si>
    <t>P03-012</t>
  </si>
  <si>
    <t>P03-013</t>
  </si>
  <si>
    <t>P03-014</t>
  </si>
  <si>
    <t>P03-015</t>
  </si>
  <si>
    <t>P03-016</t>
  </si>
  <si>
    <t>P04-001</t>
  </si>
  <si>
    <t>Pre- and post-heating behavior of concrete-filled steel tube stub columns containing steel fiber and tire rubber</t>
  </si>
  <si>
    <t>P04-002</t>
  </si>
  <si>
    <t>P04-003</t>
  </si>
  <si>
    <t>P04-004</t>
  </si>
  <si>
    <t>P04-005</t>
  </si>
  <si>
    <t>P04-006</t>
  </si>
  <si>
    <t>P04-007</t>
  </si>
  <si>
    <t>P04-008</t>
  </si>
  <si>
    <t>P04-009</t>
  </si>
  <si>
    <t>P04-010</t>
  </si>
  <si>
    <t>P04-011</t>
  </si>
  <si>
    <t>P04-012</t>
  </si>
  <si>
    <t>P04-013</t>
  </si>
  <si>
    <t>P04-014</t>
  </si>
  <si>
    <t>P04-015</t>
  </si>
  <si>
    <t>P04-016</t>
  </si>
  <si>
    <t>P04-017</t>
  </si>
  <si>
    <t>P04-018</t>
  </si>
  <si>
    <t>P04-019</t>
  </si>
  <si>
    <t>P05-001</t>
  </si>
  <si>
    <t>Behaviour of concrete-Filled steel tube having granulated blast furnace slag as fine aggregate in normal strength concrete after exposure to elevated temperature</t>
  </si>
  <si>
    <t>P05-002</t>
  </si>
  <si>
    <t>P05-003</t>
  </si>
  <si>
    <t>P05-004</t>
  </si>
  <si>
    <t>P05-005</t>
  </si>
  <si>
    <t>P05-006</t>
  </si>
  <si>
    <t>P05-007</t>
  </si>
  <si>
    <t>P05-008</t>
  </si>
  <si>
    <t>P05-009</t>
  </si>
  <si>
    <t>P05-010</t>
  </si>
  <si>
    <t>P06-001</t>
  </si>
  <si>
    <t>Test on Axial Compression Performance and Residual Bearing Capacity Assessment of Recycled Concrete Filled Circular Steel Tube After Exposure to High Temperatures and Water Cooling</t>
  </si>
  <si>
    <t>P06-002</t>
  </si>
  <si>
    <t>65</t>
  </si>
  <si>
    <t>P06-003</t>
  </si>
  <si>
    <t>100</t>
  </si>
  <si>
    <t>P06-004</t>
  </si>
  <si>
    <t>200</t>
  </si>
  <si>
    <t>P06-005</t>
  </si>
  <si>
    <t>350</t>
  </si>
  <si>
    <t>P06-006</t>
  </si>
  <si>
    <t>P06-007</t>
  </si>
  <si>
    <t>P06-008</t>
  </si>
  <si>
    <t>P06-009</t>
  </si>
  <si>
    <t>P06-010</t>
  </si>
  <si>
    <t>P06-011</t>
  </si>
  <si>
    <t>P06-012</t>
  </si>
  <si>
    <t>P06-013</t>
  </si>
  <si>
    <t>P06-014</t>
  </si>
  <si>
    <t>P06-015</t>
  </si>
  <si>
    <t>P06-016</t>
  </si>
  <si>
    <t>P06-017</t>
  </si>
  <si>
    <t>P06-018</t>
  </si>
  <si>
    <t>P06-019</t>
  </si>
  <si>
    <t>P06-020</t>
  </si>
  <si>
    <t>P06-021</t>
  </si>
  <si>
    <t>P06-022</t>
  </si>
  <si>
    <t>P06-023</t>
  </si>
  <si>
    <t>P06-024</t>
  </si>
  <si>
    <t>P06-025</t>
  </si>
  <si>
    <t>P06-026</t>
  </si>
  <si>
    <t>P06-027</t>
  </si>
  <si>
    <t>P07-001</t>
  </si>
  <si>
    <t>Experimental study on the high temperature performance of UHPCFST stub columns at different concrete age</t>
  </si>
  <si>
    <t>P07-002</t>
  </si>
  <si>
    <t>P07-003</t>
  </si>
  <si>
    <t>P07-004</t>
  </si>
  <si>
    <t>P07-005</t>
  </si>
  <si>
    <t>P07-006</t>
  </si>
  <si>
    <t>P07-007</t>
  </si>
  <si>
    <t>P07-008</t>
  </si>
  <si>
    <t>P07-009</t>
  </si>
  <si>
    <t>800</t>
  </si>
  <si>
    <t>P07-010</t>
  </si>
  <si>
    <t>P07-011</t>
  </si>
  <si>
    <t>P07-012</t>
  </si>
  <si>
    <t>P07-013</t>
  </si>
  <si>
    <t>P07-014</t>
  </si>
  <si>
    <t>P07-015</t>
  </si>
  <si>
    <t>P07-016</t>
  </si>
  <si>
    <t>P07-017</t>
  </si>
  <si>
    <t>P07-018</t>
  </si>
  <si>
    <t>P07-019</t>
  </si>
  <si>
    <t>P07-020</t>
  </si>
  <si>
    <t>P07-021</t>
  </si>
  <si>
    <t>P07-022</t>
  </si>
  <si>
    <t>P07-023</t>
  </si>
  <si>
    <t>P07-024</t>
  </si>
  <si>
    <t>P08-001</t>
  </si>
  <si>
    <t>Post-fire mechanical behaviour of ultra-high-performance concrete-filled steel tube (UHPCFST) stub columns under compression</t>
  </si>
  <si>
    <t>P08-002</t>
  </si>
  <si>
    <t>P08-003</t>
  </si>
  <si>
    <t>P08-004</t>
  </si>
  <si>
    <t>P08-005</t>
  </si>
  <si>
    <t>P08-006</t>
  </si>
  <si>
    <t>P08-007</t>
  </si>
  <si>
    <t>P08-008</t>
  </si>
  <si>
    <t>P08-009</t>
  </si>
  <si>
    <t>P08-010</t>
  </si>
  <si>
    <t>P08-011</t>
  </si>
  <si>
    <t>P08-012</t>
  </si>
  <si>
    <t>P08-013</t>
  </si>
  <si>
    <t>P08-014</t>
  </si>
  <si>
    <t>P08-015</t>
  </si>
  <si>
    <t>P08-016</t>
  </si>
  <si>
    <t>P08-017</t>
  </si>
  <si>
    <t>P08-018</t>
  </si>
  <si>
    <t>P08-019</t>
  </si>
  <si>
    <t>P08-020</t>
  </si>
  <si>
    <t>P08-021</t>
  </si>
  <si>
    <t>P08-022</t>
  </si>
  <si>
    <t>P08-023</t>
  </si>
  <si>
    <t>P08-024</t>
  </si>
  <si>
    <t>P09-001</t>
  </si>
  <si>
    <t>Compression performance of ultra-high performance concrete filled steel tube(UHPCFST) columns exposed to elevated temperature during construction</t>
  </si>
  <si>
    <t>P09-002</t>
  </si>
  <si>
    <t>P09-003</t>
  </si>
  <si>
    <t>P09-004</t>
  </si>
  <si>
    <t>P09-005</t>
  </si>
  <si>
    <t>P09-006</t>
  </si>
  <si>
    <t>P09-007</t>
  </si>
  <si>
    <t>P09-008</t>
  </si>
  <si>
    <t>P09-009</t>
  </si>
  <si>
    <t>P10-001</t>
  </si>
  <si>
    <t>Post-Fire Exposure Behavior of Circular Concrete-filled Steel Tube Column under Axial Loading</t>
  </si>
  <si>
    <t>P10-002</t>
  </si>
  <si>
    <t>P10-003</t>
  </si>
  <si>
    <t>P10-004</t>
  </si>
  <si>
    <t>P10-005</t>
  </si>
  <si>
    <t>P10-006</t>
  </si>
  <si>
    <t>P10-007</t>
  </si>
  <si>
    <t>P10-008</t>
  </si>
  <si>
    <t>P10-009</t>
  </si>
  <si>
    <t>P10-010</t>
  </si>
  <si>
    <t>P10-011</t>
  </si>
  <si>
    <t>P10-012</t>
  </si>
  <si>
    <t>P10-013</t>
  </si>
  <si>
    <t>P10-014</t>
  </si>
  <si>
    <t>P10-015</t>
  </si>
  <si>
    <t>P10-016</t>
  </si>
  <si>
    <t>P10-017</t>
  </si>
  <si>
    <t>P10-018</t>
  </si>
  <si>
    <t>P10-019</t>
  </si>
  <si>
    <t>P10-020</t>
  </si>
  <si>
    <t>P10-021</t>
  </si>
  <si>
    <t>P10-022</t>
  </si>
  <si>
    <t>P10-023</t>
  </si>
  <si>
    <t>P10-024</t>
  </si>
  <si>
    <t>P10-025</t>
  </si>
  <si>
    <t>P10-026</t>
  </si>
  <si>
    <t>P10-027</t>
  </si>
  <si>
    <t>P10-028</t>
  </si>
  <si>
    <t>P10-029</t>
  </si>
  <si>
    <t>P10-030</t>
  </si>
  <si>
    <t>P11-001</t>
  </si>
  <si>
    <t>Experimental Investigation on Post-fire Response of Concrete-Filled Steel Tube Column Subjected to Elevated Temperature</t>
  </si>
  <si>
    <t>P11-002</t>
  </si>
  <si>
    <t>P11-003</t>
  </si>
  <si>
    <t>P11-004</t>
  </si>
  <si>
    <t>P11-005</t>
  </si>
  <si>
    <t>P11-006</t>
  </si>
  <si>
    <t>P11-007</t>
  </si>
  <si>
    <t>P11-008</t>
  </si>
  <si>
    <t>P11-009</t>
  </si>
  <si>
    <t>P11-010</t>
  </si>
  <si>
    <t>P11-011</t>
  </si>
  <si>
    <t>P11-012</t>
  </si>
  <si>
    <t>P11-013</t>
  </si>
  <si>
    <t>P11-014</t>
  </si>
  <si>
    <t>P11-015</t>
  </si>
  <si>
    <t>P11-016</t>
  </si>
  <si>
    <t>P11-017</t>
  </si>
  <si>
    <t>P11-018</t>
  </si>
  <si>
    <t>P11-019</t>
  </si>
  <si>
    <t>P11-020</t>
  </si>
  <si>
    <t>P11-021</t>
  </si>
  <si>
    <t>P11-022</t>
  </si>
  <si>
    <t>P11-023</t>
  </si>
  <si>
    <t>P11-024</t>
  </si>
  <si>
    <t>P11-025</t>
  </si>
  <si>
    <t>P11-026</t>
  </si>
  <si>
    <t>P11-027</t>
  </si>
  <si>
    <t>P11-028</t>
  </si>
  <si>
    <t>P11-029</t>
  </si>
  <si>
    <t>P11-030</t>
  </si>
  <si>
    <t>P12-001</t>
  </si>
  <si>
    <t>Mechanical behavior of recycled aggregate concrete-filled steel tube stub columns after exposure to elevated temperatures</t>
  </si>
  <si>
    <t>P12-002</t>
  </si>
  <si>
    <t>P12-003</t>
  </si>
  <si>
    <t>P12-004</t>
  </si>
  <si>
    <t>P12-005</t>
  </si>
  <si>
    <t>P12-006</t>
  </si>
  <si>
    <t>P12-007</t>
  </si>
  <si>
    <t>P12-008</t>
  </si>
  <si>
    <t>P12-009</t>
  </si>
  <si>
    <t>P12-010</t>
  </si>
  <si>
    <t>P12-011</t>
  </si>
  <si>
    <t>P12-012</t>
  </si>
  <si>
    <t>P13-001</t>
  </si>
  <si>
    <t>Behaviours of circular high-strength concrete-filled high-strength steel tubular columns after constant heating</t>
  </si>
  <si>
    <t>P13-002</t>
  </si>
  <si>
    <t>P13-003</t>
  </si>
  <si>
    <t>P13-004</t>
  </si>
  <si>
    <t>P13-005</t>
  </si>
  <si>
    <t>P13-006</t>
  </si>
  <si>
    <t>P13-007</t>
  </si>
  <si>
    <t>P14-001</t>
  </si>
  <si>
    <t>Post-fire behaviour of circular high-strength concrete-filled high-strength steel tubular stub columns under axial compression</t>
  </si>
  <si>
    <t>P14-002</t>
  </si>
  <si>
    <t>P14-003</t>
  </si>
  <si>
    <t>P14-004</t>
  </si>
  <si>
    <t>P14-005</t>
  </si>
  <si>
    <t>P14-006</t>
  </si>
  <si>
    <t>P14-007</t>
  </si>
  <si>
    <t>P14-008</t>
  </si>
  <si>
    <t>P14-009</t>
  </si>
  <si>
    <t>P14-010</t>
  </si>
  <si>
    <t>P14-011</t>
  </si>
  <si>
    <t>P14-012</t>
  </si>
  <si>
    <t>P14-013</t>
  </si>
  <si>
    <t>P14-014</t>
  </si>
  <si>
    <t>P14-015</t>
  </si>
  <si>
    <t>P14-016</t>
  </si>
  <si>
    <t>P14-017</t>
  </si>
  <si>
    <t>P14-018</t>
  </si>
  <si>
    <t>P14-019</t>
  </si>
  <si>
    <t>P14-020</t>
  </si>
  <si>
    <t>P14-021</t>
  </si>
  <si>
    <t>P14-022</t>
  </si>
  <si>
    <t>P14-023</t>
  </si>
  <si>
    <t>P14-024</t>
  </si>
  <si>
    <t>P14-025</t>
  </si>
  <si>
    <t>P14-026</t>
  </si>
  <si>
    <t>P14-027</t>
  </si>
  <si>
    <t>P15-001</t>
  </si>
  <si>
    <t>Circular recycled aggregate concrete-filled stainless steel tube stub columns after exposure to fire: Experiments, simulations, and design</t>
  </si>
  <si>
    <t>P15-002</t>
  </si>
  <si>
    <t>P15-003</t>
  </si>
  <si>
    <t>P15-004</t>
  </si>
  <si>
    <t>P15-005</t>
  </si>
  <si>
    <t>P15-006</t>
  </si>
  <si>
    <t>P15-007</t>
  </si>
  <si>
    <t>P15-008</t>
  </si>
  <si>
    <t>P15-009</t>
  </si>
  <si>
    <t>P15-010</t>
  </si>
  <si>
    <t>P15-011</t>
  </si>
  <si>
    <t>P15-012</t>
  </si>
  <si>
    <t>P16-001</t>
  </si>
  <si>
    <t>P16-002</t>
  </si>
  <si>
    <t>P16-003</t>
  </si>
  <si>
    <t>P16-004</t>
  </si>
  <si>
    <t>P16-005</t>
  </si>
  <si>
    <t>P16-006</t>
  </si>
  <si>
    <t>P16-007</t>
  </si>
  <si>
    <t>P16-008</t>
  </si>
  <si>
    <t>P16-009</t>
  </si>
  <si>
    <t>P16-010</t>
  </si>
  <si>
    <t>P16-011</t>
  </si>
  <si>
    <t>P16-012</t>
  </si>
  <si>
    <t>P16-013</t>
  </si>
  <si>
    <t>P16-014</t>
  </si>
  <si>
    <t>P16-015</t>
  </si>
  <si>
    <t>P16-016</t>
  </si>
  <si>
    <t>P17-001</t>
  </si>
  <si>
    <t>Buckling behaviour of high-strength concrete-filled high-strength steel tubular columns after fire exposure</t>
  </si>
  <si>
    <t>P17-002</t>
  </si>
  <si>
    <t>P17-003</t>
  </si>
  <si>
    <t>P17-004</t>
  </si>
  <si>
    <t>P17-005</t>
  </si>
  <si>
    <t>P17-006</t>
  </si>
  <si>
    <t>P17-007</t>
  </si>
  <si>
    <t>P17-008</t>
  </si>
  <si>
    <t>P17-009</t>
  </si>
  <si>
    <t>P18-001</t>
  </si>
  <si>
    <t xml:space="preserve"> Compressive behavior of concrete-filled stainless steel tube stub columns post-fire | Journal of Constructional Steel Research</t>
  </si>
  <si>
    <t>P18-002</t>
  </si>
  <si>
    <t>P18-003</t>
  </si>
  <si>
    <t>P18-004</t>
  </si>
  <si>
    <t>P18-005</t>
  </si>
  <si>
    <t>P18-006</t>
  </si>
  <si>
    <t>P18-007</t>
  </si>
  <si>
    <t>P18-008</t>
  </si>
  <si>
    <t>P18-009</t>
  </si>
  <si>
    <t>P18-010</t>
  </si>
  <si>
    <t>P18-011</t>
  </si>
  <si>
    <t>P18-012</t>
  </si>
  <si>
    <t>P18-013</t>
  </si>
  <si>
    <t>P18-014</t>
  </si>
  <si>
    <t>P18-015</t>
  </si>
  <si>
    <t>P18-016</t>
  </si>
  <si>
    <t>P18-017</t>
  </si>
  <si>
    <t>P18-018</t>
  </si>
  <si>
    <t>P18-019</t>
  </si>
  <si>
    <t>P18-020</t>
  </si>
  <si>
    <t>P18-021</t>
  </si>
  <si>
    <t>P18-022</t>
  </si>
  <si>
    <t>P18-023</t>
  </si>
  <si>
    <t>P18-024</t>
  </si>
  <si>
    <t>P18-025</t>
  </si>
  <si>
    <t>P18-026</t>
  </si>
  <si>
    <t>P18-027</t>
  </si>
  <si>
    <t>P18-028</t>
  </si>
  <si>
    <t>P18-029</t>
  </si>
  <si>
    <t>P18-030</t>
  </si>
  <si>
    <t>P18-031</t>
  </si>
  <si>
    <t>P18-032</t>
  </si>
  <si>
    <t>P18-033</t>
  </si>
  <si>
    <t>P18-034</t>
  </si>
  <si>
    <t>P18-035</t>
  </si>
  <si>
    <t>P18-036</t>
  </si>
  <si>
    <t>P18-037</t>
  </si>
  <si>
    <t>P18-038</t>
  </si>
  <si>
    <t>P18-039</t>
  </si>
  <si>
    <t>P18-040</t>
  </si>
  <si>
    <t>P18-041</t>
  </si>
  <si>
    <t>P18-042</t>
  </si>
  <si>
    <t>P18-043</t>
  </si>
  <si>
    <t>P18-044</t>
  </si>
  <si>
    <t>P18-045</t>
  </si>
  <si>
    <t>P18-046</t>
  </si>
  <si>
    <t>P18-047</t>
  </si>
  <si>
    <t>P18-048</t>
  </si>
  <si>
    <t>P18-049</t>
  </si>
  <si>
    <t>P18-050</t>
  </si>
  <si>
    <t>P18-051</t>
  </si>
  <si>
    <t>P18-052</t>
  </si>
  <si>
    <t>P18-053</t>
  </si>
  <si>
    <t>P18-054</t>
  </si>
  <si>
    <t>P18-055</t>
  </si>
  <si>
    <t>P18-056</t>
  </si>
  <si>
    <t>P18-057</t>
  </si>
  <si>
    <t>P18-058</t>
  </si>
  <si>
    <t>P18-059</t>
  </si>
  <si>
    <t>P18-060</t>
  </si>
  <si>
    <t>P18-061</t>
  </si>
  <si>
    <t>P18-062</t>
  </si>
  <si>
    <t>P18-063</t>
  </si>
  <si>
    <t>P18-064</t>
  </si>
  <si>
    <t>P18-065</t>
  </si>
  <si>
    <t>P18-066</t>
  </si>
  <si>
    <t>P18-067</t>
  </si>
  <si>
    <t>P18-068</t>
  </si>
  <si>
    <t>P18-069</t>
  </si>
  <si>
    <t>P19-001</t>
  </si>
  <si>
    <t>Performance of circular concrete filled steel tubes after fire exposure: Experiments</t>
  </si>
  <si>
    <t>P19-002</t>
  </si>
  <si>
    <t>P19-003</t>
  </si>
  <si>
    <t>P19-004</t>
  </si>
  <si>
    <t>P20-001</t>
  </si>
  <si>
    <t>STUDY OF ULTIMATE BEARING CAPACITY OF RECYCLED AGGREGATE CONCRETE-FILLED CIRCLE STEEL TUBE SHORT COLUMNS UNDER AXIAL  COMPRESSION AFTER HIGH TEMPERATURE
高温后圆钢管再生混凝土轴压短柱的极限承载力研究</t>
  </si>
  <si>
    <t>P20-002</t>
  </si>
  <si>
    <t>P20-003</t>
  </si>
  <si>
    <t>P20-004</t>
  </si>
  <si>
    <t>P20-005</t>
  </si>
  <si>
    <t>P20-006</t>
  </si>
  <si>
    <t>P20-007</t>
  </si>
  <si>
    <t>P20-008</t>
  </si>
  <si>
    <t>P20-009</t>
  </si>
  <si>
    <t>P20-010</t>
  </si>
  <si>
    <t>P20-011</t>
  </si>
  <si>
    <t>P20-012</t>
  </si>
  <si>
    <t>P20-013</t>
  </si>
  <si>
    <t>P20-014</t>
  </si>
  <si>
    <t>P20-015</t>
  </si>
  <si>
    <t>P20-016</t>
  </si>
  <si>
    <t>P20-017</t>
  </si>
  <si>
    <t>P20-018</t>
  </si>
  <si>
    <t>P20-019</t>
  </si>
  <si>
    <t>P20-020</t>
  </si>
  <si>
    <t>P21-001</t>
  </si>
  <si>
    <t>Axial compressive performance of water cooling high strength concrete-filled steel tubular columns after high temperature</t>
  </si>
  <si>
    <t>P21-002</t>
  </si>
  <si>
    <t>P21-003</t>
  </si>
  <si>
    <t>P21-004</t>
  </si>
  <si>
    <t>P21-005</t>
  </si>
  <si>
    <t>P21-006</t>
  </si>
  <si>
    <t>P21-007</t>
  </si>
  <si>
    <t>P21-008</t>
  </si>
  <si>
    <t>P21-009</t>
  </si>
  <si>
    <t>P21-010</t>
  </si>
  <si>
    <t>P21-011</t>
  </si>
  <si>
    <t>P21-012</t>
  </si>
  <si>
    <t>P21-013</t>
  </si>
  <si>
    <t>P21-014</t>
  </si>
  <si>
    <t>P21-015</t>
  </si>
  <si>
    <t>P21-016</t>
  </si>
  <si>
    <t>P21-017</t>
  </si>
  <si>
    <t>P21-018</t>
  </si>
  <si>
    <t>P21-019</t>
  </si>
  <si>
    <t>P22-001</t>
  </si>
  <si>
    <t>Post-fire compressive performance of basalt fiber recycled aggregate concrete filled steel tube</t>
  </si>
  <si>
    <t>P22-002</t>
  </si>
  <si>
    <t>P22-003</t>
  </si>
  <si>
    <t>P22-004</t>
  </si>
  <si>
    <t>P22-005</t>
  </si>
  <si>
    <t>P22-006</t>
  </si>
  <si>
    <t>P22-007</t>
  </si>
  <si>
    <t>P22-008</t>
  </si>
  <si>
    <t>P22-009</t>
  </si>
  <si>
    <t>P22-010</t>
  </si>
  <si>
    <t>P22-011</t>
  </si>
  <si>
    <t>P22-012</t>
  </si>
  <si>
    <t>P22-013</t>
  </si>
  <si>
    <t>P22-014</t>
  </si>
  <si>
    <t>P22-015</t>
  </si>
  <si>
    <t>P22-016</t>
  </si>
  <si>
    <t>P22-017</t>
  </si>
  <si>
    <t>P22-018</t>
  </si>
  <si>
    <t>P22-019</t>
  </si>
  <si>
    <t>P22-020</t>
  </si>
  <si>
    <t>P22-021</t>
  </si>
  <si>
    <t>P22-022</t>
  </si>
  <si>
    <t>P22-023</t>
  </si>
  <si>
    <t>P22-024</t>
  </si>
  <si>
    <t>P22-025</t>
  </si>
  <si>
    <t xml:space="preserve">Behaviour and residual compression resistances of circular high strength concrete-filled stainless steel tube (HCFSST) stub columns after exposure to fire 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</si>
</sst>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_);[Red]\(0\)"/>
    <numFmt numFmtId="177" formatCode="0.0000"/>
    <numFmt numFmtId="178" formatCode="0.0_ "/>
  </numFmts>
  <fonts count="5" x14ac:knownFonts="1">
    <font>
      <sz val="11"/>
      <color theme="1"/>
      <name val="宋体"/>
      <charset val="134"/>
    </font>
    <font>
      <b/>
      <sz val="11"/>
      <color theme="1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宋体"/>
      <family val="3"/>
      <charset val="134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auto="1"/>
      </left>
      <right/>
      <top style="thin">
        <color rgb="FFD9D9D9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110"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176" fontId="1" fillId="3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2" fillId="4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177" fontId="2" fillId="4" borderId="3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77" fontId="0" fillId="4" borderId="3" xfId="0" applyNumberFormat="1" applyFill="1" applyBorder="1" applyAlignment="1">
      <alignment horizontal="center" vertical="center" wrapText="1"/>
    </xf>
    <xf numFmtId="176" fontId="0" fillId="4" borderId="3" xfId="0" applyNumberFormat="1" applyFill="1" applyBorder="1" applyAlignment="1">
      <alignment horizontal="center" vertical="center" wrapText="1"/>
    </xf>
    <xf numFmtId="177" fontId="0" fillId="4" borderId="4" xfId="0" applyNumberFormat="1" applyFill="1" applyBorder="1" applyAlignment="1">
      <alignment horizontal="center" vertical="center" wrapText="1"/>
    </xf>
    <xf numFmtId="177" fontId="2" fillId="2" borderId="3" xfId="0" applyNumberFormat="1" applyFont="1" applyFill="1" applyBorder="1" applyAlignment="1">
      <alignment horizontal="center" vertical="center" wrapText="1"/>
    </xf>
    <xf numFmtId="176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177" fontId="0" fillId="2" borderId="6" xfId="0" applyNumberFormat="1" applyFill="1" applyBorder="1" applyAlignment="1">
      <alignment horizontal="center" vertical="center" wrapText="1"/>
    </xf>
    <xf numFmtId="177" fontId="0" fillId="2" borderId="3" xfId="0" applyNumberFormat="1" applyFill="1" applyBorder="1" applyAlignment="1">
      <alignment horizontal="center" vertical="center" wrapText="1"/>
    </xf>
    <xf numFmtId="176" fontId="0" fillId="2" borderId="3" xfId="0" applyNumberForma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177" fontId="2" fillId="5" borderId="3" xfId="0" applyNumberFormat="1" applyFont="1" applyFill="1" applyBorder="1" applyAlignment="1">
      <alignment horizontal="center" vertical="center" wrapText="1"/>
    </xf>
    <xf numFmtId="176" fontId="2" fillId="5" borderId="3" xfId="0" applyNumberFormat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177" fontId="0" fillId="5" borderId="3" xfId="0" applyNumberFormat="1" applyFill="1" applyBorder="1" applyAlignment="1">
      <alignment horizontal="center" vertical="center" wrapText="1"/>
    </xf>
    <xf numFmtId="176" fontId="0" fillId="5" borderId="3" xfId="0" applyNumberForma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177" fontId="0" fillId="5" borderId="6" xfId="0" applyNumberFormat="1" applyFill="1" applyBorder="1" applyAlignment="1">
      <alignment horizontal="center" vertical="center" wrapText="1"/>
    </xf>
    <xf numFmtId="177" fontId="2" fillId="6" borderId="3" xfId="0" applyNumberFormat="1" applyFont="1" applyFill="1" applyBorder="1" applyAlignment="1">
      <alignment horizontal="center" vertical="center" wrapText="1"/>
    </xf>
    <xf numFmtId="176" fontId="2" fillId="6" borderId="3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/>
    </xf>
    <xf numFmtId="177" fontId="0" fillId="6" borderId="3" xfId="0" applyNumberFormat="1" applyFill="1" applyBorder="1" applyAlignment="1">
      <alignment horizontal="center" vertical="center" wrapText="1"/>
    </xf>
    <xf numFmtId="176" fontId="0" fillId="6" borderId="3" xfId="0" applyNumberForma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177" fontId="0" fillId="6" borderId="6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176" fontId="0" fillId="5" borderId="3" xfId="0" applyNumberForma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176" fontId="2" fillId="7" borderId="3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76" fontId="0" fillId="7" borderId="3" xfId="0" applyNumberForma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176" fontId="2" fillId="8" borderId="3" xfId="0" applyNumberFormat="1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/>
    </xf>
    <xf numFmtId="176" fontId="0" fillId="8" borderId="3" xfId="0" applyNumberForma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/>
    </xf>
    <xf numFmtId="176" fontId="0" fillId="6" borderId="3" xfId="0" applyNumberForma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/>
    </xf>
    <xf numFmtId="176" fontId="0" fillId="4" borderId="3" xfId="0" applyNumberForma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/>
    </xf>
    <xf numFmtId="178" fontId="0" fillId="7" borderId="3" xfId="0" applyNumberForma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0" fillId="5" borderId="3" xfId="0" applyFont="1" applyFill="1" applyBorder="1" applyAlignment="1">
      <alignment horizontal="center" vertical="center"/>
    </xf>
    <xf numFmtId="0" fontId="0" fillId="5" borderId="3" xfId="0" applyFont="1" applyFill="1" applyBorder="1" applyAlignment="1">
      <alignment horizontal="center" vertical="center" wrapText="1"/>
    </xf>
    <xf numFmtId="176" fontId="0" fillId="5" borderId="3" xfId="0" applyNumberFormat="1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76" fontId="0" fillId="5" borderId="7" xfId="0" applyNumberForma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 wrapText="1"/>
    </xf>
    <xf numFmtId="0" fontId="0" fillId="5" borderId="7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 wrapText="1"/>
    </xf>
    <xf numFmtId="0" fontId="0" fillId="2" borderId="6" xfId="0" applyNumberFormat="1" applyFill="1" applyBorder="1" applyAlignment="1">
      <alignment horizontal="center" vertical="center" wrapText="1"/>
    </xf>
    <xf numFmtId="0" fontId="2" fillId="5" borderId="6" xfId="0" applyNumberFormat="1" applyFont="1" applyFill="1" applyBorder="1" applyAlignment="1">
      <alignment horizontal="center" vertical="center" wrapText="1"/>
    </xf>
    <xf numFmtId="0" fontId="2" fillId="6" borderId="6" xfId="0" applyNumberFormat="1" applyFont="1" applyFill="1" applyBorder="1" applyAlignment="1">
      <alignment horizontal="center" vertical="center" wrapText="1"/>
    </xf>
    <xf numFmtId="0" fontId="2" fillId="4" borderId="6" xfId="0" applyNumberFormat="1" applyFont="1" applyFill="1" applyBorder="1" applyAlignment="1">
      <alignment horizontal="center" vertical="center" wrapText="1"/>
    </xf>
    <xf numFmtId="0" fontId="2" fillId="5" borderId="6" xfId="0" applyNumberFormat="1" applyFont="1" applyFill="1" applyBorder="1" applyAlignment="1">
      <alignment horizontal="center" vertical="center"/>
    </xf>
    <xf numFmtId="0" fontId="2" fillId="7" borderId="6" xfId="0" applyNumberFormat="1" applyFont="1" applyFill="1" applyBorder="1" applyAlignment="1">
      <alignment horizontal="center" vertical="center"/>
    </xf>
    <xf numFmtId="0" fontId="2" fillId="8" borderId="6" xfId="0" applyNumberFormat="1" applyFont="1" applyFill="1" applyBorder="1" applyAlignment="1">
      <alignment horizontal="center" vertical="center"/>
    </xf>
    <xf numFmtId="0" fontId="2" fillId="6" borderId="6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/>
    </xf>
    <xf numFmtId="0" fontId="0" fillId="5" borderId="3" xfId="0" applyNumberFormat="1" applyFill="1" applyBorder="1" applyAlignment="1">
      <alignment horizontal="center" vertical="center"/>
    </xf>
    <xf numFmtId="0" fontId="0" fillId="7" borderId="3" xfId="0" applyNumberFormat="1" applyFill="1" applyBorder="1" applyAlignment="1">
      <alignment horizontal="center" vertical="center"/>
    </xf>
    <xf numFmtId="0" fontId="0" fillId="5" borderId="3" xfId="0" applyNumberFormat="1" applyFont="1" applyFill="1" applyBorder="1" applyAlignment="1">
      <alignment horizontal="center" vertical="center"/>
    </xf>
    <xf numFmtId="0" fontId="0" fillId="8" borderId="3" xfId="0" applyNumberFormat="1" applyFill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L486"/>
  <sheetViews>
    <sheetView tabSelected="1" zoomScale="70" zoomScaleNormal="70" workbookViewId="0">
      <pane ySplit="1" topLeftCell="A2" activePane="bottomLeft" state="frozen"/>
      <selection pane="bottomLeft" activeCell="K13" sqref="K13"/>
    </sheetView>
  </sheetViews>
  <sheetFormatPr defaultColWidth="9" defaultRowHeight="14.4" x14ac:dyDescent="0.25"/>
  <cols>
    <col min="1" max="1" width="19.88671875" style="2" customWidth="1"/>
    <col min="2" max="2" width="11.109375" style="2" customWidth="1"/>
    <col min="3" max="3" width="8" style="2" customWidth="1"/>
    <col min="4" max="4" width="9.88671875" style="2" customWidth="1"/>
    <col min="5" max="5" width="29.44140625" style="2" customWidth="1"/>
    <col min="6" max="7" width="17.44140625" style="2" customWidth="1"/>
    <col min="8" max="8" width="13.88671875" style="3" customWidth="1"/>
    <col min="9" max="9" width="19.77734375" style="2" customWidth="1"/>
    <col min="10" max="10" width="35.33203125" style="1" customWidth="1"/>
    <col min="11" max="11" width="23.33203125" style="2" customWidth="1"/>
    <col min="12" max="12" width="25.33203125" style="2" customWidth="1"/>
    <col min="13" max="13" width="12" style="2" customWidth="1"/>
    <col min="14" max="14" width="25.33203125" style="2" customWidth="1"/>
    <col min="15" max="15" width="190.44140625" style="2" customWidth="1"/>
    <col min="16" max="16" width="9" style="88" customWidth="1"/>
    <col min="17" max="220" width="9" style="2" customWidth="1"/>
  </cols>
  <sheetData>
    <row r="1" spans="1:16" s="1" customFormat="1" ht="40.049999999999997" customHeight="1" x14ac:dyDescent="0.25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7" t="s">
        <v>14</v>
      </c>
      <c r="P1" s="90"/>
    </row>
    <row r="2" spans="1:16" ht="28.8" customHeight="1" x14ac:dyDescent="0.25">
      <c r="A2" s="8" t="s">
        <v>15</v>
      </c>
      <c r="B2" s="9">
        <v>140</v>
      </c>
      <c r="C2" s="9">
        <v>6.06</v>
      </c>
      <c r="D2" s="9">
        <v>23.1023102310231</v>
      </c>
      <c r="E2" s="9">
        <v>420</v>
      </c>
      <c r="F2" s="10">
        <f t="array" ref="F2:F277">E2:E277/B2:B277</f>
        <v>3</v>
      </c>
      <c r="G2" s="10">
        <v>20</v>
      </c>
      <c r="H2" s="11">
        <v>0</v>
      </c>
      <c r="I2" s="10">
        <v>0</v>
      </c>
      <c r="J2" s="12" t="s">
        <v>16</v>
      </c>
      <c r="K2" s="9">
        <v>405.7</v>
      </c>
      <c r="L2" s="9">
        <v>58.5</v>
      </c>
      <c r="M2" s="9">
        <v>2078.1999999999998</v>
      </c>
      <c r="N2" s="93">
        <v>1</v>
      </c>
      <c r="O2" s="13" t="s">
        <v>17</v>
      </c>
      <c r="P2" s="92"/>
    </row>
    <row r="3" spans="1:16" ht="28.8" customHeight="1" x14ac:dyDescent="0.25">
      <c r="A3" s="8" t="s">
        <v>18</v>
      </c>
      <c r="B3" s="14">
        <v>140.5</v>
      </c>
      <c r="C3" s="14">
        <v>6.17</v>
      </c>
      <c r="D3" s="14">
        <v>22.771474878444099</v>
      </c>
      <c r="E3" s="14">
        <v>420</v>
      </c>
      <c r="F3" s="15">
        <v>2.9893238434163703</v>
      </c>
      <c r="G3" s="15">
        <v>20</v>
      </c>
      <c r="H3" s="11">
        <v>0</v>
      </c>
      <c r="I3" s="15">
        <v>0</v>
      </c>
      <c r="J3" s="12" t="s">
        <v>16</v>
      </c>
      <c r="K3" s="14">
        <v>405.7</v>
      </c>
      <c r="L3" s="14">
        <v>58.5</v>
      </c>
      <c r="M3" s="14">
        <v>2015.8</v>
      </c>
      <c r="N3" s="94">
        <v>1</v>
      </c>
      <c r="O3" s="13" t="s">
        <v>17</v>
      </c>
      <c r="P3" s="92"/>
    </row>
    <row r="4" spans="1:16" ht="28.8" customHeight="1" x14ac:dyDescent="0.25">
      <c r="A4" s="8" t="s">
        <v>19</v>
      </c>
      <c r="B4" s="14">
        <v>140</v>
      </c>
      <c r="C4" s="14">
        <v>6.13</v>
      </c>
      <c r="D4" s="14">
        <v>22.838499184339302</v>
      </c>
      <c r="E4" s="14">
        <v>420</v>
      </c>
      <c r="F4" s="15">
        <v>3</v>
      </c>
      <c r="G4" s="15">
        <v>20</v>
      </c>
      <c r="H4" s="11">
        <v>0</v>
      </c>
      <c r="I4" s="15">
        <v>0</v>
      </c>
      <c r="J4" s="12" t="s">
        <v>16</v>
      </c>
      <c r="K4" s="14">
        <v>405.7</v>
      </c>
      <c r="L4" s="14">
        <v>58.5</v>
      </c>
      <c r="M4" s="14">
        <v>2068.3000000000002</v>
      </c>
      <c r="N4" s="94">
        <v>1</v>
      </c>
      <c r="O4" s="13" t="s">
        <v>17</v>
      </c>
      <c r="P4" s="92"/>
    </row>
    <row r="5" spans="1:16" ht="28.8" customHeight="1" x14ac:dyDescent="0.25">
      <c r="A5" s="8" t="s">
        <v>20</v>
      </c>
      <c r="B5" s="17">
        <v>140</v>
      </c>
      <c r="C5" s="17">
        <v>6.01</v>
      </c>
      <c r="D5" s="17">
        <v>23.294509151414299</v>
      </c>
      <c r="E5" s="17">
        <v>420</v>
      </c>
      <c r="F5" s="13">
        <v>3</v>
      </c>
      <c r="G5" s="13">
        <v>900</v>
      </c>
      <c r="H5" s="18">
        <v>45</v>
      </c>
      <c r="I5" s="13">
        <v>33750</v>
      </c>
      <c r="J5" s="12" t="s">
        <v>21</v>
      </c>
      <c r="K5" s="19">
        <v>405.7</v>
      </c>
      <c r="L5" s="17">
        <v>58.5</v>
      </c>
      <c r="M5" s="17">
        <v>1760.2</v>
      </c>
      <c r="N5" s="16">
        <v>0.856920305730003</v>
      </c>
      <c r="O5" s="13" t="s">
        <v>17</v>
      </c>
      <c r="P5" s="92"/>
    </row>
    <row r="6" spans="1:16" ht="28.8" customHeight="1" x14ac:dyDescent="0.25">
      <c r="A6" s="8" t="s">
        <v>22</v>
      </c>
      <c r="B6" s="17">
        <v>140.25</v>
      </c>
      <c r="C6" s="17">
        <v>5.92</v>
      </c>
      <c r="D6" s="17">
        <v>23.6908783783784</v>
      </c>
      <c r="E6" s="17">
        <v>420</v>
      </c>
      <c r="F6" s="13">
        <v>2.9946524064171123</v>
      </c>
      <c r="G6" s="13">
        <v>900</v>
      </c>
      <c r="H6" s="18">
        <v>45</v>
      </c>
      <c r="I6" s="13">
        <v>33750</v>
      </c>
      <c r="J6" s="12" t="s">
        <v>21</v>
      </c>
      <c r="K6" s="17">
        <v>405.7</v>
      </c>
      <c r="L6" s="17">
        <v>58.5</v>
      </c>
      <c r="M6" s="17">
        <v>1733.6</v>
      </c>
      <c r="N6" s="16">
        <v>0.84397059539457697</v>
      </c>
      <c r="O6" s="13" t="s">
        <v>17</v>
      </c>
      <c r="P6" s="92"/>
    </row>
    <row r="7" spans="1:16" ht="28.8" customHeight="1" x14ac:dyDescent="0.25">
      <c r="A7" s="8" t="s">
        <v>23</v>
      </c>
      <c r="B7" s="17">
        <v>140</v>
      </c>
      <c r="C7" s="17">
        <v>6.07</v>
      </c>
      <c r="D7" s="17">
        <v>23.0642504118616</v>
      </c>
      <c r="E7" s="17">
        <v>420</v>
      </c>
      <c r="F7" s="13">
        <v>3</v>
      </c>
      <c r="G7" s="13">
        <v>900</v>
      </c>
      <c r="H7" s="18">
        <v>45</v>
      </c>
      <c r="I7" s="13">
        <v>33750</v>
      </c>
      <c r="J7" s="12" t="s">
        <v>21</v>
      </c>
      <c r="K7" s="17">
        <v>405.7</v>
      </c>
      <c r="L7" s="17">
        <v>58.5</v>
      </c>
      <c r="M7" s="17">
        <v>1612.7</v>
      </c>
      <c r="N7" s="16">
        <v>0.78511270142641598</v>
      </c>
      <c r="O7" s="13" t="s">
        <v>17</v>
      </c>
      <c r="P7" s="92"/>
    </row>
    <row r="8" spans="1:16" ht="28.8" customHeight="1" x14ac:dyDescent="0.25">
      <c r="A8" s="8" t="s">
        <v>24</v>
      </c>
      <c r="B8" s="17">
        <v>140</v>
      </c>
      <c r="C8" s="17">
        <v>6.26</v>
      </c>
      <c r="D8" s="17">
        <v>22.364217252396202</v>
      </c>
      <c r="E8" s="17">
        <v>420</v>
      </c>
      <c r="F8" s="13">
        <v>3</v>
      </c>
      <c r="G8" s="13">
        <v>1000</v>
      </c>
      <c r="H8" s="18">
        <v>90</v>
      </c>
      <c r="I8" s="13">
        <v>76500</v>
      </c>
      <c r="J8" s="12" t="s">
        <v>21</v>
      </c>
      <c r="K8" s="19">
        <v>405.7</v>
      </c>
      <c r="L8" s="17">
        <v>58.5</v>
      </c>
      <c r="M8" s="17">
        <v>1082.5999999999999</v>
      </c>
      <c r="N8" s="16">
        <v>0.52704347402755503</v>
      </c>
      <c r="O8" s="13" t="s">
        <v>17</v>
      </c>
      <c r="P8" s="92"/>
    </row>
    <row r="9" spans="1:16" ht="28.8" customHeight="1" x14ac:dyDescent="0.25">
      <c r="A9" s="8" t="s">
        <v>25</v>
      </c>
      <c r="B9" s="17">
        <v>139.5</v>
      </c>
      <c r="C9" s="17">
        <v>6.15</v>
      </c>
      <c r="D9" s="17">
        <v>22.6829268292683</v>
      </c>
      <c r="E9" s="17">
        <v>420</v>
      </c>
      <c r="F9" s="13">
        <v>3.010752688172043</v>
      </c>
      <c r="G9" s="13">
        <v>1000</v>
      </c>
      <c r="H9" s="18">
        <v>90</v>
      </c>
      <c r="I9" s="13">
        <v>76500</v>
      </c>
      <c r="J9" s="12" t="s">
        <v>21</v>
      </c>
      <c r="K9" s="17">
        <v>405.7</v>
      </c>
      <c r="L9" s="17">
        <v>58.5</v>
      </c>
      <c r="M9" s="17">
        <v>1150.5</v>
      </c>
      <c r="N9" s="16">
        <v>0.56009931356798603</v>
      </c>
      <c r="O9" s="13" t="s">
        <v>17</v>
      </c>
      <c r="P9" s="92"/>
    </row>
    <row r="10" spans="1:16" ht="28.8" customHeight="1" x14ac:dyDescent="0.25">
      <c r="A10" s="8" t="s">
        <v>26</v>
      </c>
      <c r="B10" s="17">
        <v>140</v>
      </c>
      <c r="C10" s="17">
        <v>6.14</v>
      </c>
      <c r="D10" s="17">
        <v>22.801302931596101</v>
      </c>
      <c r="E10" s="17">
        <v>420</v>
      </c>
      <c r="F10" s="13">
        <v>3</v>
      </c>
      <c r="G10" s="13">
        <v>1000</v>
      </c>
      <c r="H10" s="18">
        <v>90</v>
      </c>
      <c r="I10" s="13">
        <v>76500</v>
      </c>
      <c r="J10" s="12" t="s">
        <v>21</v>
      </c>
      <c r="K10" s="17">
        <v>405.7</v>
      </c>
      <c r="L10" s="17">
        <v>58.5</v>
      </c>
      <c r="M10" s="17">
        <v>1200</v>
      </c>
      <c r="N10" s="16">
        <v>0.584197458741055</v>
      </c>
      <c r="O10" s="13" t="s">
        <v>17</v>
      </c>
      <c r="P10" s="92"/>
    </row>
    <row r="11" spans="1:16" ht="28.8" customHeight="1" x14ac:dyDescent="0.25">
      <c r="A11" s="8" t="s">
        <v>27</v>
      </c>
      <c r="B11" s="14">
        <v>140</v>
      </c>
      <c r="C11" s="14">
        <v>6.19</v>
      </c>
      <c r="D11" s="14">
        <v>22.617124394184199</v>
      </c>
      <c r="E11" s="14">
        <v>420</v>
      </c>
      <c r="F11" s="15">
        <v>3</v>
      </c>
      <c r="G11" s="15">
        <v>20</v>
      </c>
      <c r="H11" s="11">
        <v>0</v>
      </c>
      <c r="I11" s="15">
        <v>0</v>
      </c>
      <c r="J11" s="12" t="s">
        <v>16</v>
      </c>
      <c r="K11" s="9">
        <v>405.7</v>
      </c>
      <c r="L11" s="14">
        <v>85.2</v>
      </c>
      <c r="M11" s="14">
        <v>2643.5</v>
      </c>
      <c r="N11" s="94">
        <v>1</v>
      </c>
      <c r="O11" s="13" t="s">
        <v>17</v>
      </c>
      <c r="P11" s="92"/>
    </row>
    <row r="12" spans="1:16" ht="28.8" customHeight="1" x14ac:dyDescent="0.25">
      <c r="A12" s="8" t="s">
        <v>28</v>
      </c>
      <c r="B12" s="14">
        <v>140</v>
      </c>
      <c r="C12" s="14">
        <v>6.06</v>
      </c>
      <c r="D12" s="14">
        <v>23.1023102310231</v>
      </c>
      <c r="E12" s="14">
        <v>420</v>
      </c>
      <c r="F12" s="15">
        <v>3</v>
      </c>
      <c r="G12" s="15">
        <v>20</v>
      </c>
      <c r="H12" s="11">
        <v>0</v>
      </c>
      <c r="I12" s="15">
        <v>0</v>
      </c>
      <c r="J12" s="12" t="s">
        <v>16</v>
      </c>
      <c r="K12" s="14">
        <v>405.7</v>
      </c>
      <c r="L12" s="14">
        <v>85.2</v>
      </c>
      <c r="M12" s="14">
        <v>2584.6</v>
      </c>
      <c r="N12" s="94">
        <v>1</v>
      </c>
      <c r="O12" s="13" t="s">
        <v>17</v>
      </c>
      <c r="P12" s="92"/>
    </row>
    <row r="13" spans="1:16" ht="28.8" customHeight="1" x14ac:dyDescent="0.25">
      <c r="A13" s="8" t="s">
        <v>29</v>
      </c>
      <c r="B13" s="14">
        <v>140</v>
      </c>
      <c r="C13" s="14">
        <v>6.03</v>
      </c>
      <c r="D13" s="14">
        <v>23.217247097844101</v>
      </c>
      <c r="E13" s="14">
        <v>420</v>
      </c>
      <c r="F13" s="15">
        <v>3</v>
      </c>
      <c r="G13" s="15">
        <v>20</v>
      </c>
      <c r="H13" s="11">
        <v>0</v>
      </c>
      <c r="I13" s="15">
        <v>0</v>
      </c>
      <c r="J13" s="12" t="s">
        <v>16</v>
      </c>
      <c r="K13" s="14">
        <v>405.7</v>
      </c>
      <c r="L13" s="14">
        <v>85.2</v>
      </c>
      <c r="M13" s="14">
        <v>2529.5</v>
      </c>
      <c r="N13" s="94">
        <v>1</v>
      </c>
      <c r="O13" s="13" t="s">
        <v>17</v>
      </c>
      <c r="P13" s="92"/>
    </row>
    <row r="14" spans="1:16" ht="28.8" customHeight="1" x14ac:dyDescent="0.25">
      <c r="A14" s="8" t="s">
        <v>30</v>
      </c>
      <c r="B14" s="17">
        <v>140</v>
      </c>
      <c r="C14" s="17">
        <v>6.12</v>
      </c>
      <c r="D14" s="17">
        <v>22.875816993463999</v>
      </c>
      <c r="E14" s="17">
        <v>420</v>
      </c>
      <c r="F14" s="13">
        <v>3</v>
      </c>
      <c r="G14" s="13">
        <v>900</v>
      </c>
      <c r="H14" s="18">
        <v>45</v>
      </c>
      <c r="I14" s="13">
        <v>33750</v>
      </c>
      <c r="J14" s="12" t="s">
        <v>21</v>
      </c>
      <c r="K14" s="19">
        <v>405.7</v>
      </c>
      <c r="L14" s="17">
        <v>85.2</v>
      </c>
      <c r="M14" s="17">
        <v>2161.1999999999998</v>
      </c>
      <c r="N14" s="16">
        <v>0.83577395070640403</v>
      </c>
      <c r="O14" s="13" t="s">
        <v>17</v>
      </c>
      <c r="P14" s="92"/>
    </row>
    <row r="15" spans="1:16" ht="28.8" customHeight="1" x14ac:dyDescent="0.25">
      <c r="A15" s="8" t="s">
        <v>31</v>
      </c>
      <c r="B15" s="17">
        <v>140</v>
      </c>
      <c r="C15" s="17">
        <v>5.99</v>
      </c>
      <c r="D15" s="17">
        <v>23.372287145242101</v>
      </c>
      <c r="E15" s="17">
        <v>420</v>
      </c>
      <c r="F15" s="13">
        <v>3</v>
      </c>
      <c r="G15" s="13">
        <v>900</v>
      </c>
      <c r="H15" s="18">
        <v>45</v>
      </c>
      <c r="I15" s="13">
        <v>33750</v>
      </c>
      <c r="J15" s="12" t="s">
        <v>21</v>
      </c>
      <c r="K15" s="17">
        <v>405.7</v>
      </c>
      <c r="L15" s="17">
        <v>85.2</v>
      </c>
      <c r="M15" s="17">
        <v>2188.5</v>
      </c>
      <c r="N15" s="16">
        <v>0.84633133958956397</v>
      </c>
      <c r="O15" s="13" t="s">
        <v>17</v>
      </c>
      <c r="P15" s="92"/>
    </row>
    <row r="16" spans="1:16" ht="28.8" customHeight="1" x14ac:dyDescent="0.25">
      <c r="A16" s="8" t="s">
        <v>32</v>
      </c>
      <c r="B16" s="17">
        <v>140</v>
      </c>
      <c r="C16" s="17">
        <v>6.18</v>
      </c>
      <c r="D16" s="17">
        <v>22.653721682847902</v>
      </c>
      <c r="E16" s="17">
        <v>420</v>
      </c>
      <c r="F16" s="13">
        <v>3</v>
      </c>
      <c r="G16" s="13">
        <v>900</v>
      </c>
      <c r="H16" s="18">
        <v>45</v>
      </c>
      <c r="I16" s="13">
        <v>33750</v>
      </c>
      <c r="J16" s="12" t="s">
        <v>21</v>
      </c>
      <c r="K16" s="17">
        <v>405.7</v>
      </c>
      <c r="L16" s="17">
        <v>85.2</v>
      </c>
      <c r="M16" s="17">
        <v>2312.6999999999998</v>
      </c>
      <c r="N16" s="16">
        <v>0.89436165824481795</v>
      </c>
      <c r="O16" s="13" t="s">
        <v>17</v>
      </c>
      <c r="P16" s="92"/>
    </row>
    <row r="17" spans="1:16" ht="28.8" customHeight="1" x14ac:dyDescent="0.25">
      <c r="A17" s="8" t="s">
        <v>33</v>
      </c>
      <c r="B17" s="17">
        <v>140</v>
      </c>
      <c r="C17" s="17">
        <v>6.05</v>
      </c>
      <c r="D17" s="17">
        <v>23.1404958677686</v>
      </c>
      <c r="E17" s="17">
        <v>420</v>
      </c>
      <c r="F17" s="13">
        <v>3</v>
      </c>
      <c r="G17" s="13">
        <v>1000</v>
      </c>
      <c r="H17" s="18">
        <v>90</v>
      </c>
      <c r="I17" s="13">
        <v>76500</v>
      </c>
      <c r="J17" s="12" t="s">
        <v>21</v>
      </c>
      <c r="K17" s="19">
        <v>405.7</v>
      </c>
      <c r="L17" s="17">
        <v>85.2</v>
      </c>
      <c r="M17" s="17">
        <v>1481.9</v>
      </c>
      <c r="N17" s="16">
        <v>0.57307672476023497</v>
      </c>
      <c r="O17" s="13" t="s">
        <v>17</v>
      </c>
      <c r="P17" s="92"/>
    </row>
    <row r="18" spans="1:16" ht="28.8" customHeight="1" x14ac:dyDescent="0.25">
      <c r="A18" s="8" t="s">
        <v>34</v>
      </c>
      <c r="B18" s="17">
        <v>140</v>
      </c>
      <c r="C18" s="17">
        <v>6.11</v>
      </c>
      <c r="D18" s="17">
        <v>22.913256955810098</v>
      </c>
      <c r="E18" s="17">
        <v>420</v>
      </c>
      <c r="F18" s="13">
        <v>3</v>
      </c>
      <c r="G18" s="13">
        <v>1000</v>
      </c>
      <c r="H18" s="18">
        <v>90</v>
      </c>
      <c r="I18" s="13">
        <v>76500</v>
      </c>
      <c r="J18" s="12" t="s">
        <v>21</v>
      </c>
      <c r="K18" s="17">
        <v>405.7</v>
      </c>
      <c r="L18" s="17">
        <v>85.2</v>
      </c>
      <c r="M18" s="17">
        <v>1412.9</v>
      </c>
      <c r="N18" s="16">
        <v>0.54639321439620503</v>
      </c>
      <c r="O18" s="13" t="s">
        <v>17</v>
      </c>
      <c r="P18" s="92"/>
    </row>
    <row r="19" spans="1:16" ht="28.8" customHeight="1" x14ac:dyDescent="0.25">
      <c r="A19" s="8" t="s">
        <v>35</v>
      </c>
      <c r="B19" s="17">
        <v>140</v>
      </c>
      <c r="C19" s="17">
        <v>6.19</v>
      </c>
      <c r="D19" s="17">
        <v>22.617124394184199</v>
      </c>
      <c r="E19" s="17">
        <v>420</v>
      </c>
      <c r="F19" s="13">
        <v>3</v>
      </c>
      <c r="G19" s="13">
        <v>1000</v>
      </c>
      <c r="H19" s="18">
        <v>90</v>
      </c>
      <c r="I19" s="13">
        <v>76500</v>
      </c>
      <c r="J19" s="12" t="s">
        <v>21</v>
      </c>
      <c r="K19" s="17">
        <v>405.7</v>
      </c>
      <c r="L19" s="17">
        <v>85.2</v>
      </c>
      <c r="M19" s="17">
        <v>1530.3</v>
      </c>
      <c r="N19" s="16">
        <v>0.59179385376920701</v>
      </c>
      <c r="O19" s="13" t="s">
        <v>17</v>
      </c>
      <c r="P19" s="92"/>
    </row>
    <row r="20" spans="1:16" ht="28.8" customHeight="1" x14ac:dyDescent="0.25">
      <c r="A20" s="8" t="s">
        <v>36</v>
      </c>
      <c r="B20" s="14">
        <v>140</v>
      </c>
      <c r="C20" s="14">
        <v>6.22</v>
      </c>
      <c r="D20" s="14">
        <v>22.508038585209</v>
      </c>
      <c r="E20" s="14">
        <v>420</v>
      </c>
      <c r="F20" s="15">
        <v>3</v>
      </c>
      <c r="G20" s="15">
        <v>20</v>
      </c>
      <c r="H20" s="11">
        <v>0</v>
      </c>
      <c r="I20" s="15">
        <v>0</v>
      </c>
      <c r="J20" s="12" t="s">
        <v>16</v>
      </c>
      <c r="K20" s="14">
        <v>745</v>
      </c>
      <c r="L20" s="14">
        <v>85.2</v>
      </c>
      <c r="M20" s="14">
        <v>3623.9</v>
      </c>
      <c r="N20" s="94">
        <v>1</v>
      </c>
      <c r="O20" s="13" t="s">
        <v>17</v>
      </c>
      <c r="P20" s="92"/>
    </row>
    <row r="21" spans="1:16" ht="28.8" customHeight="1" x14ac:dyDescent="0.25">
      <c r="A21" s="8" t="s">
        <v>37</v>
      </c>
      <c r="B21" s="14">
        <v>140.16999999999999</v>
      </c>
      <c r="C21" s="14">
        <v>6.16</v>
      </c>
      <c r="D21" s="14">
        <v>22.754870129870099</v>
      </c>
      <c r="E21" s="14">
        <v>420</v>
      </c>
      <c r="F21" s="15">
        <v>2.9963615609616898</v>
      </c>
      <c r="G21" s="15">
        <v>20</v>
      </c>
      <c r="H21" s="11">
        <v>0</v>
      </c>
      <c r="I21" s="15">
        <v>0</v>
      </c>
      <c r="J21" s="12" t="s">
        <v>16</v>
      </c>
      <c r="K21" s="14">
        <v>745</v>
      </c>
      <c r="L21" s="14">
        <v>85.2</v>
      </c>
      <c r="M21" s="14">
        <v>3551.7</v>
      </c>
      <c r="N21" s="94">
        <v>1</v>
      </c>
      <c r="O21" s="13" t="s">
        <v>17</v>
      </c>
      <c r="P21" s="92"/>
    </row>
    <row r="22" spans="1:16" ht="28.8" customHeight="1" x14ac:dyDescent="0.25">
      <c r="A22" s="8" t="s">
        <v>38</v>
      </c>
      <c r="B22" s="17">
        <v>139.83000000000001</v>
      </c>
      <c r="C22" s="17">
        <v>6.19</v>
      </c>
      <c r="D22" s="17">
        <v>22.5896607431341</v>
      </c>
      <c r="E22" s="17">
        <v>420</v>
      </c>
      <c r="F22" s="13">
        <v>3.0036472859901306</v>
      </c>
      <c r="G22" s="13">
        <v>900</v>
      </c>
      <c r="H22" s="18">
        <v>45</v>
      </c>
      <c r="I22" s="13">
        <v>33750</v>
      </c>
      <c r="J22" s="12" t="s">
        <v>21</v>
      </c>
      <c r="K22" s="17">
        <v>745</v>
      </c>
      <c r="L22" s="17">
        <v>85.2</v>
      </c>
      <c r="M22" s="17">
        <v>2456.3000000000002</v>
      </c>
      <c r="N22" s="16">
        <v>0.68462567590166701</v>
      </c>
      <c r="O22" s="13" t="s">
        <v>17</v>
      </c>
      <c r="P22" s="92"/>
    </row>
    <row r="23" spans="1:16" ht="28.8" customHeight="1" x14ac:dyDescent="0.25">
      <c r="A23" s="8" t="s">
        <v>39</v>
      </c>
      <c r="B23" s="17">
        <v>140.16999999999999</v>
      </c>
      <c r="C23" s="17">
        <v>6.2</v>
      </c>
      <c r="D23" s="17">
        <v>22.608064516129001</v>
      </c>
      <c r="E23" s="17">
        <v>420</v>
      </c>
      <c r="F23" s="13">
        <v>2.9963615609616898</v>
      </c>
      <c r="G23" s="13">
        <v>900</v>
      </c>
      <c r="H23" s="18">
        <v>45</v>
      </c>
      <c r="I23" s="13">
        <v>33750</v>
      </c>
      <c r="J23" s="12" t="s">
        <v>21</v>
      </c>
      <c r="K23" s="17">
        <v>745</v>
      </c>
      <c r="L23" s="17">
        <v>85.2</v>
      </c>
      <c r="M23" s="17">
        <v>2220.1999999999998</v>
      </c>
      <c r="N23" s="16">
        <v>0.61881933218128105</v>
      </c>
      <c r="O23" s="13" t="s">
        <v>17</v>
      </c>
      <c r="P23" s="92"/>
    </row>
    <row r="24" spans="1:16" ht="28.8" customHeight="1" x14ac:dyDescent="0.25">
      <c r="A24" s="8" t="s">
        <v>40</v>
      </c>
      <c r="B24" s="17">
        <v>140</v>
      </c>
      <c r="C24" s="17">
        <v>6.24</v>
      </c>
      <c r="D24" s="17">
        <v>22.435897435897399</v>
      </c>
      <c r="E24" s="17">
        <v>420</v>
      </c>
      <c r="F24" s="13">
        <v>3</v>
      </c>
      <c r="G24" s="13">
        <v>900</v>
      </c>
      <c r="H24" s="18">
        <v>45</v>
      </c>
      <c r="I24" s="13">
        <v>33750</v>
      </c>
      <c r="J24" s="12" t="s">
        <v>21</v>
      </c>
      <c r="K24" s="17">
        <v>745</v>
      </c>
      <c r="L24" s="17">
        <v>85.2</v>
      </c>
      <c r="M24" s="17">
        <v>2544.9</v>
      </c>
      <c r="N24" s="16">
        <v>0.70932047494286199</v>
      </c>
      <c r="O24" s="13" t="s">
        <v>17</v>
      </c>
      <c r="P24" s="92"/>
    </row>
    <row r="25" spans="1:16" ht="28.8" customHeight="1" x14ac:dyDescent="0.25">
      <c r="A25" s="8" t="s">
        <v>41</v>
      </c>
      <c r="B25" s="17">
        <v>140</v>
      </c>
      <c r="C25" s="17">
        <v>6.15</v>
      </c>
      <c r="D25" s="17">
        <v>22.764227642276399</v>
      </c>
      <c r="E25" s="17">
        <v>420</v>
      </c>
      <c r="F25" s="13">
        <v>3</v>
      </c>
      <c r="G25" s="13">
        <v>1000</v>
      </c>
      <c r="H25" s="18">
        <v>90</v>
      </c>
      <c r="I25" s="13">
        <v>76500</v>
      </c>
      <c r="J25" s="12" t="s">
        <v>21</v>
      </c>
      <c r="K25" s="17">
        <v>745</v>
      </c>
      <c r="L25" s="17">
        <v>85.2</v>
      </c>
      <c r="M25" s="17">
        <v>1514.9</v>
      </c>
      <c r="N25" s="16">
        <v>0.42223646803054798</v>
      </c>
      <c r="O25" s="13" t="s">
        <v>17</v>
      </c>
      <c r="P25" s="92"/>
    </row>
    <row r="26" spans="1:16" ht="28.8" customHeight="1" x14ac:dyDescent="0.25">
      <c r="A26" s="8" t="s">
        <v>42</v>
      </c>
      <c r="B26" s="17">
        <v>140</v>
      </c>
      <c r="C26" s="17">
        <v>6.17</v>
      </c>
      <c r="D26" s="17">
        <v>22.690437601296601</v>
      </c>
      <c r="E26" s="17">
        <v>420</v>
      </c>
      <c r="F26" s="13">
        <v>3</v>
      </c>
      <c r="G26" s="13">
        <v>1000</v>
      </c>
      <c r="H26" s="18">
        <v>90</v>
      </c>
      <c r="I26" s="13">
        <v>76500</v>
      </c>
      <c r="J26" s="12" t="s">
        <v>21</v>
      </c>
      <c r="K26" s="17">
        <v>745</v>
      </c>
      <c r="L26" s="17">
        <v>85.2</v>
      </c>
      <c r="M26" s="17">
        <v>1612.2</v>
      </c>
      <c r="N26" s="16">
        <v>0.44935615140197299</v>
      </c>
      <c r="O26" s="13" t="s">
        <v>17</v>
      </c>
      <c r="P26" s="92"/>
    </row>
    <row r="27" spans="1:16" ht="28.8" customHeight="1" x14ac:dyDescent="0.25">
      <c r="A27" s="8" t="s">
        <v>43</v>
      </c>
      <c r="B27" s="20">
        <v>219</v>
      </c>
      <c r="C27" s="20">
        <v>6</v>
      </c>
      <c r="D27" s="20">
        <v>36.5</v>
      </c>
      <c r="E27" s="20">
        <v>1000</v>
      </c>
      <c r="F27" s="20">
        <v>4.5662100456621006</v>
      </c>
      <c r="G27" s="20">
        <v>20</v>
      </c>
      <c r="H27" s="21">
        <v>0</v>
      </c>
      <c r="I27" s="22">
        <v>0</v>
      </c>
      <c r="J27" s="23" t="s">
        <v>16</v>
      </c>
      <c r="K27" s="20">
        <v>385</v>
      </c>
      <c r="L27" s="20">
        <v>44</v>
      </c>
      <c r="M27" s="20">
        <v>3528</v>
      </c>
      <c r="N27" s="95">
        <v>1</v>
      </c>
      <c r="O27" s="7" t="s">
        <v>44</v>
      </c>
    </row>
    <row r="28" spans="1:16" ht="28.8" customHeight="1" x14ac:dyDescent="0.25">
      <c r="A28" s="8" t="s">
        <v>45</v>
      </c>
      <c r="B28" s="20">
        <v>219</v>
      </c>
      <c r="C28" s="20">
        <v>6</v>
      </c>
      <c r="D28" s="20">
        <v>36.5</v>
      </c>
      <c r="E28" s="20">
        <v>1000</v>
      </c>
      <c r="F28" s="20">
        <v>4.5662100456621006</v>
      </c>
      <c r="G28" s="20">
        <v>20</v>
      </c>
      <c r="H28" s="21">
        <v>0</v>
      </c>
      <c r="I28" s="22">
        <v>0</v>
      </c>
      <c r="J28" s="23" t="s">
        <v>16</v>
      </c>
      <c r="K28" s="20">
        <v>385</v>
      </c>
      <c r="L28" s="20">
        <v>38.6</v>
      </c>
      <c r="M28" s="20">
        <v>3384</v>
      </c>
      <c r="N28" s="95">
        <v>1</v>
      </c>
      <c r="O28" s="7" t="s">
        <v>44</v>
      </c>
    </row>
    <row r="29" spans="1:16" ht="28.8" customHeight="1" x14ac:dyDescent="0.25">
      <c r="A29" s="8" t="s">
        <v>46</v>
      </c>
      <c r="B29" s="20">
        <v>219</v>
      </c>
      <c r="C29" s="20">
        <v>6</v>
      </c>
      <c r="D29" s="20">
        <v>36.5</v>
      </c>
      <c r="E29" s="20">
        <v>1000</v>
      </c>
      <c r="F29" s="20">
        <v>4.5662100456621006</v>
      </c>
      <c r="G29" s="20">
        <v>20</v>
      </c>
      <c r="H29" s="21">
        <v>0</v>
      </c>
      <c r="I29" s="22">
        <v>0</v>
      </c>
      <c r="J29" s="23" t="s">
        <v>16</v>
      </c>
      <c r="K29" s="20">
        <v>385</v>
      </c>
      <c r="L29" s="20">
        <v>26.2</v>
      </c>
      <c r="M29" s="20">
        <v>2968</v>
      </c>
      <c r="N29" s="95">
        <v>1</v>
      </c>
      <c r="O29" s="7" t="s">
        <v>44</v>
      </c>
    </row>
    <row r="30" spans="1:16" ht="28.8" customHeight="1" x14ac:dyDescent="0.25">
      <c r="A30" s="8" t="s">
        <v>47</v>
      </c>
      <c r="B30" s="20">
        <v>219</v>
      </c>
      <c r="C30" s="20">
        <v>6</v>
      </c>
      <c r="D30" s="20">
        <v>36.5</v>
      </c>
      <c r="E30" s="20">
        <v>1000</v>
      </c>
      <c r="F30" s="20">
        <v>4.5662100456621006</v>
      </c>
      <c r="G30" s="20">
        <v>20</v>
      </c>
      <c r="H30" s="21">
        <v>0</v>
      </c>
      <c r="I30" s="22">
        <v>0</v>
      </c>
      <c r="J30" s="23" t="s">
        <v>16</v>
      </c>
      <c r="K30" s="20">
        <v>385</v>
      </c>
      <c r="L30" s="20">
        <v>13.4</v>
      </c>
      <c r="M30" s="20">
        <v>2682</v>
      </c>
      <c r="N30" s="96">
        <v>1</v>
      </c>
      <c r="O30" s="7" t="s">
        <v>44</v>
      </c>
    </row>
    <row r="31" spans="1:16" ht="28.8" customHeight="1" x14ac:dyDescent="0.25">
      <c r="A31" s="8" t="s">
        <v>48</v>
      </c>
      <c r="B31" s="25">
        <v>219</v>
      </c>
      <c r="C31" s="25">
        <v>6</v>
      </c>
      <c r="D31" s="25">
        <v>36.5</v>
      </c>
      <c r="E31" s="25">
        <v>1000</v>
      </c>
      <c r="F31" s="25">
        <v>4.5662100456621006</v>
      </c>
      <c r="G31" s="25">
        <v>1000</v>
      </c>
      <c r="H31" s="26">
        <v>90</v>
      </c>
      <c r="I31" s="7">
        <v>76500</v>
      </c>
      <c r="J31" s="27" t="s">
        <v>21</v>
      </c>
      <c r="K31" s="25">
        <v>385</v>
      </c>
      <c r="L31" s="25">
        <v>44</v>
      </c>
      <c r="M31" s="25">
        <v>2684</v>
      </c>
      <c r="N31" s="24">
        <v>0.760770975056689</v>
      </c>
      <c r="O31" s="7" t="s">
        <v>44</v>
      </c>
    </row>
    <row r="32" spans="1:16" ht="28.8" customHeight="1" x14ac:dyDescent="0.25">
      <c r="A32" s="8" t="s">
        <v>49</v>
      </c>
      <c r="B32" s="25">
        <v>219</v>
      </c>
      <c r="C32" s="25">
        <v>6</v>
      </c>
      <c r="D32" s="25">
        <v>36.5</v>
      </c>
      <c r="E32" s="25">
        <v>1000</v>
      </c>
      <c r="F32" s="25">
        <v>4.5662100456621006</v>
      </c>
      <c r="G32" s="25">
        <v>1000</v>
      </c>
      <c r="H32" s="26">
        <v>90</v>
      </c>
      <c r="I32" s="7">
        <v>76500</v>
      </c>
      <c r="J32" s="27" t="s">
        <v>21</v>
      </c>
      <c r="K32" s="25">
        <v>385</v>
      </c>
      <c r="L32" s="25">
        <v>38.6</v>
      </c>
      <c r="M32" s="25">
        <v>2512</v>
      </c>
      <c r="N32" s="24">
        <v>0.74231678486997599</v>
      </c>
      <c r="O32" s="7" t="s">
        <v>44</v>
      </c>
    </row>
    <row r="33" spans="1:15" ht="28.8" customHeight="1" x14ac:dyDescent="0.25">
      <c r="A33" s="8" t="s">
        <v>50</v>
      </c>
      <c r="B33" s="25">
        <v>219</v>
      </c>
      <c r="C33" s="25">
        <v>6</v>
      </c>
      <c r="D33" s="25">
        <v>36.5</v>
      </c>
      <c r="E33" s="25">
        <v>1000</v>
      </c>
      <c r="F33" s="25">
        <v>4.5662100456621006</v>
      </c>
      <c r="G33" s="25">
        <v>1000</v>
      </c>
      <c r="H33" s="26">
        <v>90</v>
      </c>
      <c r="I33" s="7">
        <v>76500</v>
      </c>
      <c r="J33" s="27" t="s">
        <v>21</v>
      </c>
      <c r="K33" s="25">
        <v>385</v>
      </c>
      <c r="L33" s="25">
        <v>26.2</v>
      </c>
      <c r="M33" s="25">
        <v>2149</v>
      </c>
      <c r="N33" s="24">
        <v>0.72405660377358505</v>
      </c>
      <c r="O33" s="7" t="s">
        <v>44</v>
      </c>
    </row>
    <row r="34" spans="1:15" ht="28.8" customHeight="1" x14ac:dyDescent="0.25">
      <c r="A34" s="8" t="s">
        <v>51</v>
      </c>
      <c r="B34" s="25">
        <v>219</v>
      </c>
      <c r="C34" s="25">
        <v>6</v>
      </c>
      <c r="D34" s="25">
        <v>36.5</v>
      </c>
      <c r="E34" s="25">
        <v>1000</v>
      </c>
      <c r="F34" s="25">
        <v>4.5662100456621006</v>
      </c>
      <c r="G34" s="25">
        <v>1000</v>
      </c>
      <c r="H34" s="26">
        <v>90</v>
      </c>
      <c r="I34" s="7">
        <v>76500</v>
      </c>
      <c r="J34" s="27" t="s">
        <v>21</v>
      </c>
      <c r="K34" s="25">
        <v>385</v>
      </c>
      <c r="L34" s="25">
        <v>13.4</v>
      </c>
      <c r="M34" s="25">
        <v>1880</v>
      </c>
      <c r="N34" s="24">
        <v>0.70096942580164101</v>
      </c>
      <c r="O34" s="7" t="s">
        <v>44</v>
      </c>
    </row>
    <row r="35" spans="1:15" ht="28.8" customHeight="1" x14ac:dyDescent="0.25">
      <c r="A35" s="8" t="s">
        <v>52</v>
      </c>
      <c r="B35" s="20">
        <v>377</v>
      </c>
      <c r="C35" s="20">
        <v>10</v>
      </c>
      <c r="D35" s="20">
        <v>37.700000000000003</v>
      </c>
      <c r="E35" s="20">
        <v>1200</v>
      </c>
      <c r="F35" s="20">
        <v>3.183023872679045</v>
      </c>
      <c r="G35" s="20">
        <v>20</v>
      </c>
      <c r="H35" s="21">
        <v>0</v>
      </c>
      <c r="I35" s="22">
        <v>0</v>
      </c>
      <c r="J35" s="23" t="s">
        <v>16</v>
      </c>
      <c r="K35" s="20">
        <v>400</v>
      </c>
      <c r="L35" s="20">
        <v>44</v>
      </c>
      <c r="M35" s="20">
        <v>10046</v>
      </c>
      <c r="N35" s="96">
        <v>1</v>
      </c>
      <c r="O35" s="7" t="s">
        <v>44</v>
      </c>
    </row>
    <row r="36" spans="1:15" ht="28.8" customHeight="1" x14ac:dyDescent="0.25">
      <c r="A36" s="8" t="s">
        <v>53</v>
      </c>
      <c r="B36" s="20">
        <v>377</v>
      </c>
      <c r="C36" s="20">
        <v>10</v>
      </c>
      <c r="D36" s="20">
        <v>37.700000000000003</v>
      </c>
      <c r="E36" s="20">
        <v>1200</v>
      </c>
      <c r="F36" s="20">
        <v>3.183023872679045</v>
      </c>
      <c r="G36" s="20">
        <v>20</v>
      </c>
      <c r="H36" s="21">
        <v>0</v>
      </c>
      <c r="I36" s="22">
        <v>0</v>
      </c>
      <c r="J36" s="23" t="s">
        <v>16</v>
      </c>
      <c r="K36" s="20">
        <v>400</v>
      </c>
      <c r="L36" s="20">
        <v>38.6</v>
      </c>
      <c r="M36" s="20">
        <v>9506</v>
      </c>
      <c r="N36" s="96">
        <v>1</v>
      </c>
      <c r="O36" s="7" t="s">
        <v>44</v>
      </c>
    </row>
    <row r="37" spans="1:15" ht="28.8" customHeight="1" x14ac:dyDescent="0.25">
      <c r="A37" s="8" t="s">
        <v>54</v>
      </c>
      <c r="B37" s="20">
        <v>377</v>
      </c>
      <c r="C37" s="20">
        <v>10</v>
      </c>
      <c r="D37" s="20">
        <v>37.700000000000003</v>
      </c>
      <c r="E37" s="20">
        <v>1200</v>
      </c>
      <c r="F37" s="20">
        <v>3.183023872679045</v>
      </c>
      <c r="G37" s="20">
        <v>20</v>
      </c>
      <c r="H37" s="21">
        <v>0</v>
      </c>
      <c r="I37" s="22">
        <v>0</v>
      </c>
      <c r="J37" s="23" t="s">
        <v>16</v>
      </c>
      <c r="K37" s="20">
        <v>400</v>
      </c>
      <c r="L37" s="20">
        <v>26.2</v>
      </c>
      <c r="M37" s="20">
        <v>8580</v>
      </c>
      <c r="N37" s="96">
        <v>1</v>
      </c>
      <c r="O37" s="7" t="s">
        <v>44</v>
      </c>
    </row>
    <row r="38" spans="1:15" ht="28.8" customHeight="1" x14ac:dyDescent="0.25">
      <c r="A38" s="8" t="s">
        <v>55</v>
      </c>
      <c r="B38" s="20">
        <v>377</v>
      </c>
      <c r="C38" s="20">
        <v>10</v>
      </c>
      <c r="D38" s="20">
        <v>37.700000000000003</v>
      </c>
      <c r="E38" s="20">
        <v>1200</v>
      </c>
      <c r="F38" s="20">
        <v>3.183023872679045</v>
      </c>
      <c r="G38" s="20">
        <v>20</v>
      </c>
      <c r="H38" s="21">
        <v>0</v>
      </c>
      <c r="I38" s="22">
        <v>0</v>
      </c>
      <c r="J38" s="23" t="s">
        <v>16</v>
      </c>
      <c r="K38" s="20">
        <v>400</v>
      </c>
      <c r="L38" s="20">
        <v>13.4</v>
      </c>
      <c r="M38" s="20">
        <v>7574</v>
      </c>
      <c r="N38" s="96">
        <v>1</v>
      </c>
      <c r="O38" s="7" t="s">
        <v>44</v>
      </c>
    </row>
    <row r="39" spans="1:15" ht="28.8" customHeight="1" x14ac:dyDescent="0.25">
      <c r="A39" s="8" t="s">
        <v>56</v>
      </c>
      <c r="B39" s="25">
        <v>377</v>
      </c>
      <c r="C39" s="25">
        <v>10</v>
      </c>
      <c r="D39" s="25">
        <v>37.700000000000003</v>
      </c>
      <c r="E39" s="25">
        <v>1200</v>
      </c>
      <c r="F39" s="25">
        <v>3.183023872679045</v>
      </c>
      <c r="G39" s="25">
        <v>1000</v>
      </c>
      <c r="H39" s="26">
        <v>90</v>
      </c>
      <c r="I39" s="7">
        <v>76500</v>
      </c>
      <c r="J39" s="27" t="s">
        <v>21</v>
      </c>
      <c r="K39" s="25">
        <v>400</v>
      </c>
      <c r="L39" s="25">
        <v>44</v>
      </c>
      <c r="M39" s="25">
        <v>8261</v>
      </c>
      <c r="N39" s="24">
        <v>0.82231734023491898</v>
      </c>
      <c r="O39" s="7" t="s">
        <v>44</v>
      </c>
    </row>
    <row r="40" spans="1:15" ht="28.8" customHeight="1" x14ac:dyDescent="0.25">
      <c r="A40" s="8" t="s">
        <v>57</v>
      </c>
      <c r="B40" s="25">
        <v>377</v>
      </c>
      <c r="C40" s="25">
        <v>10</v>
      </c>
      <c r="D40" s="25">
        <v>37.700000000000003</v>
      </c>
      <c r="E40" s="25">
        <v>1200</v>
      </c>
      <c r="F40" s="25">
        <v>3.183023872679045</v>
      </c>
      <c r="G40" s="25">
        <v>1000</v>
      </c>
      <c r="H40" s="26">
        <v>90</v>
      </c>
      <c r="I40" s="7">
        <v>76500</v>
      </c>
      <c r="J40" s="27" t="s">
        <v>21</v>
      </c>
      <c r="K40" s="25">
        <v>400</v>
      </c>
      <c r="L40" s="25">
        <v>38.6</v>
      </c>
      <c r="M40" s="25">
        <v>7703</v>
      </c>
      <c r="N40" s="24">
        <v>0.81033031769408803</v>
      </c>
      <c r="O40" s="7" t="s">
        <v>44</v>
      </c>
    </row>
    <row r="41" spans="1:15" ht="28.8" customHeight="1" x14ac:dyDescent="0.25">
      <c r="A41" s="8" t="s">
        <v>58</v>
      </c>
      <c r="B41" s="25">
        <v>377</v>
      </c>
      <c r="C41" s="25">
        <v>10</v>
      </c>
      <c r="D41" s="25">
        <v>37.700000000000003</v>
      </c>
      <c r="E41" s="25">
        <v>1200</v>
      </c>
      <c r="F41" s="25">
        <v>3.183023872679045</v>
      </c>
      <c r="G41" s="25">
        <v>1000</v>
      </c>
      <c r="H41" s="26">
        <v>90</v>
      </c>
      <c r="I41" s="7">
        <v>76500</v>
      </c>
      <c r="J41" s="27" t="s">
        <v>21</v>
      </c>
      <c r="K41" s="25">
        <v>400</v>
      </c>
      <c r="L41" s="25">
        <v>26.2</v>
      </c>
      <c r="M41" s="25">
        <v>6764</v>
      </c>
      <c r="N41" s="24">
        <v>0.78834498834498801</v>
      </c>
      <c r="O41" s="7" t="s">
        <v>44</v>
      </c>
    </row>
    <row r="42" spans="1:15" ht="28.8" customHeight="1" x14ac:dyDescent="0.25">
      <c r="A42" s="8" t="s">
        <v>59</v>
      </c>
      <c r="B42" s="25">
        <v>377</v>
      </c>
      <c r="C42" s="25">
        <v>10</v>
      </c>
      <c r="D42" s="25">
        <v>37.700000000000003</v>
      </c>
      <c r="E42" s="25">
        <v>1200</v>
      </c>
      <c r="F42" s="25">
        <v>3.183023872679045</v>
      </c>
      <c r="G42" s="25">
        <v>1000</v>
      </c>
      <c r="H42" s="26" t="s">
        <v>60</v>
      </c>
      <c r="I42" s="7">
        <v>76500</v>
      </c>
      <c r="J42" s="27" t="s">
        <v>21</v>
      </c>
      <c r="K42" s="25">
        <v>400</v>
      </c>
      <c r="L42" s="25">
        <v>13.4</v>
      </c>
      <c r="M42" s="25">
        <v>5885</v>
      </c>
      <c r="N42" s="24">
        <v>0.77700026406126199</v>
      </c>
      <c r="O42" s="7" t="s">
        <v>44</v>
      </c>
    </row>
    <row r="43" spans="1:15" x14ac:dyDescent="0.25">
      <c r="A43" s="8" t="s">
        <v>61</v>
      </c>
      <c r="B43" s="28">
        <v>140</v>
      </c>
      <c r="C43" s="28">
        <v>4</v>
      </c>
      <c r="D43" s="28">
        <v>35</v>
      </c>
      <c r="E43" s="28">
        <v>280</v>
      </c>
      <c r="F43" s="28">
        <v>2</v>
      </c>
      <c r="G43" s="28">
        <v>25</v>
      </c>
      <c r="H43" s="29">
        <v>0</v>
      </c>
      <c r="I43" s="30">
        <v>0</v>
      </c>
      <c r="J43" s="31" t="s">
        <v>16</v>
      </c>
      <c r="K43" s="28">
        <v>460</v>
      </c>
      <c r="L43" s="28">
        <v>119</v>
      </c>
      <c r="M43" s="28">
        <v>2832.15</v>
      </c>
      <c r="N43" s="97">
        <v>1</v>
      </c>
      <c r="O43" s="32" t="s">
        <v>62</v>
      </c>
    </row>
    <row r="44" spans="1:15" x14ac:dyDescent="0.25">
      <c r="A44" s="8" t="s">
        <v>63</v>
      </c>
      <c r="B44" s="28">
        <v>140</v>
      </c>
      <c r="C44" s="28">
        <v>5</v>
      </c>
      <c r="D44" s="28">
        <v>28</v>
      </c>
      <c r="E44" s="28">
        <v>280</v>
      </c>
      <c r="F44" s="28">
        <v>2</v>
      </c>
      <c r="G44" s="28">
        <v>25</v>
      </c>
      <c r="H44" s="29">
        <v>0</v>
      </c>
      <c r="I44" s="30">
        <v>0</v>
      </c>
      <c r="J44" s="31" t="s">
        <v>16</v>
      </c>
      <c r="K44" s="28">
        <v>460</v>
      </c>
      <c r="L44" s="28">
        <v>119</v>
      </c>
      <c r="M44" s="28">
        <v>3051.74</v>
      </c>
      <c r="N44" s="97">
        <v>1</v>
      </c>
      <c r="O44" s="32" t="s">
        <v>62</v>
      </c>
    </row>
    <row r="45" spans="1:15" x14ac:dyDescent="0.25">
      <c r="A45" s="8" t="s">
        <v>64</v>
      </c>
      <c r="B45" s="28">
        <v>140</v>
      </c>
      <c r="C45" s="28">
        <v>6</v>
      </c>
      <c r="D45" s="28">
        <v>23.3333333333333</v>
      </c>
      <c r="E45" s="28">
        <v>280</v>
      </c>
      <c r="F45" s="28">
        <v>2</v>
      </c>
      <c r="G45" s="28">
        <v>25</v>
      </c>
      <c r="H45" s="29">
        <v>0</v>
      </c>
      <c r="I45" s="30">
        <v>0</v>
      </c>
      <c r="J45" s="31" t="s">
        <v>16</v>
      </c>
      <c r="K45" s="28">
        <v>460</v>
      </c>
      <c r="L45" s="28">
        <v>119</v>
      </c>
      <c r="M45" s="28">
        <v>3297.82</v>
      </c>
      <c r="N45" s="97">
        <v>1</v>
      </c>
      <c r="O45" s="32" t="s">
        <v>62</v>
      </c>
    </row>
    <row r="46" spans="1:15" x14ac:dyDescent="0.25">
      <c r="A46" s="8" t="s">
        <v>65</v>
      </c>
      <c r="B46" s="28">
        <v>200</v>
      </c>
      <c r="C46" s="28">
        <v>5</v>
      </c>
      <c r="D46" s="28">
        <v>40</v>
      </c>
      <c r="E46" s="28">
        <v>400</v>
      </c>
      <c r="F46" s="28">
        <v>2</v>
      </c>
      <c r="G46" s="28">
        <v>25</v>
      </c>
      <c r="H46" s="29">
        <v>0</v>
      </c>
      <c r="I46" s="30">
        <v>0</v>
      </c>
      <c r="J46" s="31" t="s">
        <v>16</v>
      </c>
      <c r="K46" s="28">
        <v>460</v>
      </c>
      <c r="L46" s="28">
        <v>119</v>
      </c>
      <c r="M46" s="28">
        <v>5183.3599999999997</v>
      </c>
      <c r="N46" s="97">
        <v>1</v>
      </c>
      <c r="O46" s="32" t="s">
        <v>62</v>
      </c>
    </row>
    <row r="47" spans="1:15" x14ac:dyDescent="0.25">
      <c r="A47" s="8" t="s">
        <v>66</v>
      </c>
      <c r="B47" s="28">
        <v>140</v>
      </c>
      <c r="C47" s="28">
        <v>5</v>
      </c>
      <c r="D47" s="28">
        <v>28</v>
      </c>
      <c r="E47" s="28">
        <v>450</v>
      </c>
      <c r="F47" s="28">
        <v>3.2142857142857144</v>
      </c>
      <c r="G47" s="28">
        <v>25</v>
      </c>
      <c r="H47" s="29">
        <v>0</v>
      </c>
      <c r="I47" s="30">
        <v>0</v>
      </c>
      <c r="J47" s="31" t="s">
        <v>16</v>
      </c>
      <c r="K47" s="28">
        <v>460</v>
      </c>
      <c r="L47" s="28">
        <v>119</v>
      </c>
      <c r="M47" s="28">
        <v>2680.88</v>
      </c>
      <c r="N47" s="97">
        <v>1</v>
      </c>
      <c r="O47" s="32" t="s">
        <v>62</v>
      </c>
    </row>
    <row r="48" spans="1:15" x14ac:dyDescent="0.25">
      <c r="A48" s="8" t="s">
        <v>67</v>
      </c>
      <c r="B48" s="33">
        <v>140</v>
      </c>
      <c r="C48" s="33">
        <v>5</v>
      </c>
      <c r="D48" s="33">
        <v>28</v>
      </c>
      <c r="E48" s="33">
        <v>280</v>
      </c>
      <c r="F48" s="33">
        <v>2</v>
      </c>
      <c r="G48" s="33">
        <v>200</v>
      </c>
      <c r="H48" s="34">
        <f t="array" ref="H48:H58">(G48:G58-25)/3+120</f>
        <v>178.33333333333334</v>
      </c>
      <c r="I48" s="32">
        <v>29833.333333333299</v>
      </c>
      <c r="J48" s="35" t="s">
        <v>68</v>
      </c>
      <c r="K48" s="33">
        <v>460</v>
      </c>
      <c r="L48" s="33">
        <v>129</v>
      </c>
      <c r="M48" s="33">
        <v>3406.9</v>
      </c>
      <c r="N48" s="36">
        <v>1.1163795080839101</v>
      </c>
      <c r="O48" s="32" t="s">
        <v>62</v>
      </c>
    </row>
    <row r="49" spans="1:16" x14ac:dyDescent="0.25">
      <c r="A49" s="8" t="s">
        <v>69</v>
      </c>
      <c r="B49" s="33">
        <v>140</v>
      </c>
      <c r="C49" s="33">
        <v>5</v>
      </c>
      <c r="D49" s="33">
        <v>28</v>
      </c>
      <c r="E49" s="33">
        <v>280</v>
      </c>
      <c r="F49" s="33">
        <v>2</v>
      </c>
      <c r="G49" s="33">
        <v>400</v>
      </c>
      <c r="H49" s="34">
        <v>245</v>
      </c>
      <c r="I49" s="32">
        <v>73000</v>
      </c>
      <c r="J49" s="35" t="s">
        <v>68</v>
      </c>
      <c r="K49" s="33">
        <v>460</v>
      </c>
      <c r="L49" s="33">
        <v>109</v>
      </c>
      <c r="M49" s="33">
        <v>3152.37</v>
      </c>
      <c r="N49" s="36">
        <v>1.0329746308663299</v>
      </c>
      <c r="O49" s="32" t="s">
        <v>62</v>
      </c>
    </row>
    <row r="50" spans="1:16" x14ac:dyDescent="0.25">
      <c r="A50" s="8" t="s">
        <v>70</v>
      </c>
      <c r="B50" s="33">
        <v>140</v>
      </c>
      <c r="C50" s="33">
        <v>5</v>
      </c>
      <c r="D50" s="33">
        <v>28</v>
      </c>
      <c r="E50" s="33">
        <v>280</v>
      </c>
      <c r="F50" s="33">
        <v>2</v>
      </c>
      <c r="G50" s="33">
        <v>600</v>
      </c>
      <c r="H50" s="34">
        <v>311.66666666666663</v>
      </c>
      <c r="I50" s="32">
        <v>129500</v>
      </c>
      <c r="J50" s="35" t="s">
        <v>68</v>
      </c>
      <c r="K50" s="33">
        <v>460</v>
      </c>
      <c r="L50" s="33">
        <v>69</v>
      </c>
      <c r="M50" s="33">
        <v>2269.52</v>
      </c>
      <c r="N50" s="36">
        <v>0.74368065431524299</v>
      </c>
      <c r="O50" s="32" t="s">
        <v>62</v>
      </c>
    </row>
    <row r="51" spans="1:16" x14ac:dyDescent="0.25">
      <c r="A51" s="8" t="s">
        <v>71</v>
      </c>
      <c r="B51" s="33">
        <v>140</v>
      </c>
      <c r="C51" s="33">
        <v>4</v>
      </c>
      <c r="D51" s="33">
        <v>35</v>
      </c>
      <c r="E51" s="33">
        <v>280</v>
      </c>
      <c r="F51" s="33">
        <v>2</v>
      </c>
      <c r="G51" s="33">
        <v>600</v>
      </c>
      <c r="H51" s="34">
        <v>311.66666666666663</v>
      </c>
      <c r="I51" s="32">
        <v>129500</v>
      </c>
      <c r="J51" s="35" t="s">
        <v>68</v>
      </c>
      <c r="K51" s="33">
        <v>460</v>
      </c>
      <c r="L51" s="33">
        <v>69</v>
      </c>
      <c r="M51" s="33">
        <v>1964.92</v>
      </c>
      <c r="N51" s="36">
        <v>0.69379093621453702</v>
      </c>
      <c r="O51" s="32" t="s">
        <v>62</v>
      </c>
    </row>
    <row r="52" spans="1:16" x14ac:dyDescent="0.25">
      <c r="A52" s="8" t="s">
        <v>72</v>
      </c>
      <c r="B52" s="33">
        <v>200</v>
      </c>
      <c r="C52" s="33">
        <v>5</v>
      </c>
      <c r="D52" s="33">
        <v>40</v>
      </c>
      <c r="E52" s="33">
        <v>400</v>
      </c>
      <c r="F52" s="33">
        <v>2</v>
      </c>
      <c r="G52" s="33">
        <v>200</v>
      </c>
      <c r="H52" s="34">
        <v>178.33333333333334</v>
      </c>
      <c r="I52" s="32">
        <v>29833.333333333299</v>
      </c>
      <c r="J52" s="35" t="s">
        <v>68</v>
      </c>
      <c r="K52" s="33">
        <v>460</v>
      </c>
      <c r="L52" s="33">
        <v>129</v>
      </c>
      <c r="M52" s="33">
        <v>6016.69</v>
      </c>
      <c r="N52" s="36">
        <v>1.1607702339795001</v>
      </c>
      <c r="O52" s="32" t="s">
        <v>62</v>
      </c>
    </row>
    <row r="53" spans="1:16" x14ac:dyDescent="0.25">
      <c r="A53" s="8" t="s">
        <v>73</v>
      </c>
      <c r="B53" s="33">
        <v>200</v>
      </c>
      <c r="C53" s="33">
        <v>5</v>
      </c>
      <c r="D53" s="33">
        <v>40</v>
      </c>
      <c r="E53" s="33">
        <v>400</v>
      </c>
      <c r="F53" s="33">
        <v>2</v>
      </c>
      <c r="G53" s="33">
        <v>400</v>
      </c>
      <c r="H53" s="34">
        <v>245</v>
      </c>
      <c r="I53" s="32">
        <v>73000</v>
      </c>
      <c r="J53" s="35" t="s">
        <v>68</v>
      </c>
      <c r="K53" s="33">
        <v>460</v>
      </c>
      <c r="L53" s="33">
        <v>109</v>
      </c>
      <c r="M53" s="33">
        <v>4883.55</v>
      </c>
      <c r="N53" s="36">
        <v>0.94215914001728596</v>
      </c>
      <c r="O53" s="32" t="s">
        <v>62</v>
      </c>
    </row>
    <row r="54" spans="1:16" x14ac:dyDescent="0.25">
      <c r="A54" s="8" t="s">
        <v>74</v>
      </c>
      <c r="B54" s="33">
        <v>200</v>
      </c>
      <c r="C54" s="33">
        <v>5</v>
      </c>
      <c r="D54" s="33">
        <v>40</v>
      </c>
      <c r="E54" s="33">
        <v>400</v>
      </c>
      <c r="F54" s="33">
        <v>2</v>
      </c>
      <c r="G54" s="33">
        <v>600</v>
      </c>
      <c r="H54" s="34">
        <v>311.66666666666663</v>
      </c>
      <c r="I54" s="32">
        <v>129500</v>
      </c>
      <c r="J54" s="35" t="s">
        <v>68</v>
      </c>
      <c r="K54" s="33">
        <v>460</v>
      </c>
      <c r="L54" s="33">
        <v>69</v>
      </c>
      <c r="M54" s="33">
        <v>3724.67</v>
      </c>
      <c r="N54" s="36">
        <v>0.71858215520434598</v>
      </c>
      <c r="O54" s="32" t="s">
        <v>62</v>
      </c>
    </row>
    <row r="55" spans="1:16" x14ac:dyDescent="0.25">
      <c r="A55" s="8" t="s">
        <v>75</v>
      </c>
      <c r="B55" s="33">
        <v>140</v>
      </c>
      <c r="C55" s="33">
        <v>5</v>
      </c>
      <c r="D55" s="33">
        <v>28</v>
      </c>
      <c r="E55" s="33">
        <v>450</v>
      </c>
      <c r="F55" s="33">
        <v>3.2142857142857144</v>
      </c>
      <c r="G55" s="33">
        <v>200</v>
      </c>
      <c r="H55" s="34">
        <v>178.33333333333334</v>
      </c>
      <c r="I55" s="32">
        <v>29833.333333333299</v>
      </c>
      <c r="J55" s="35" t="s">
        <v>68</v>
      </c>
      <c r="K55" s="33">
        <v>460</v>
      </c>
      <c r="L55" s="33">
        <v>129</v>
      </c>
      <c r="M55" s="33">
        <v>3295.41</v>
      </c>
      <c r="N55" s="36">
        <v>1.2292269702485701</v>
      </c>
      <c r="O55" s="32" t="s">
        <v>62</v>
      </c>
    </row>
    <row r="56" spans="1:16" x14ac:dyDescent="0.25">
      <c r="A56" s="8" t="s">
        <v>76</v>
      </c>
      <c r="B56" s="33">
        <v>140</v>
      </c>
      <c r="C56" s="33">
        <v>5</v>
      </c>
      <c r="D56" s="33">
        <v>28</v>
      </c>
      <c r="E56" s="33">
        <v>450</v>
      </c>
      <c r="F56" s="33">
        <v>3.2142857142857144</v>
      </c>
      <c r="G56" s="33">
        <v>400</v>
      </c>
      <c r="H56" s="34">
        <v>245</v>
      </c>
      <c r="I56" s="32">
        <v>73000</v>
      </c>
      <c r="J56" s="35" t="s">
        <v>68</v>
      </c>
      <c r="K56" s="33">
        <v>460</v>
      </c>
      <c r="L56" s="33">
        <v>109</v>
      </c>
      <c r="M56" s="33">
        <v>2758.27</v>
      </c>
      <c r="N56" s="36">
        <v>1.0288673868282101</v>
      </c>
      <c r="O56" s="32" t="s">
        <v>62</v>
      </c>
    </row>
    <row r="57" spans="1:16" x14ac:dyDescent="0.25">
      <c r="A57" s="8" t="s">
        <v>77</v>
      </c>
      <c r="B57" s="33">
        <v>140</v>
      </c>
      <c r="C57" s="33">
        <v>5</v>
      </c>
      <c r="D57" s="33">
        <v>28</v>
      </c>
      <c r="E57" s="33">
        <v>450</v>
      </c>
      <c r="F57" s="33">
        <v>3.2142857142857144</v>
      </c>
      <c r="G57" s="33">
        <v>600</v>
      </c>
      <c r="H57" s="34">
        <v>311.66666666666663</v>
      </c>
      <c r="I57" s="32">
        <v>129500</v>
      </c>
      <c r="J57" s="35" t="s">
        <v>68</v>
      </c>
      <c r="K57" s="33">
        <v>460</v>
      </c>
      <c r="L57" s="33">
        <v>69</v>
      </c>
      <c r="M57" s="33">
        <v>2201.96</v>
      </c>
      <c r="N57" s="36">
        <v>0.821357166303602</v>
      </c>
      <c r="O57" s="32" t="s">
        <v>62</v>
      </c>
    </row>
    <row r="58" spans="1:16" x14ac:dyDescent="0.25">
      <c r="A58" s="8" t="s">
        <v>78</v>
      </c>
      <c r="B58" s="33">
        <v>140</v>
      </c>
      <c r="C58" s="33">
        <v>6</v>
      </c>
      <c r="D58" s="33">
        <v>23.3333333333333</v>
      </c>
      <c r="E58" s="33">
        <v>280</v>
      </c>
      <c r="F58" s="33">
        <v>2</v>
      </c>
      <c r="G58" s="33">
        <v>600</v>
      </c>
      <c r="H58" s="34">
        <v>311.66666666666663</v>
      </c>
      <c r="I58" s="32">
        <v>129500</v>
      </c>
      <c r="J58" s="35" t="s">
        <v>68</v>
      </c>
      <c r="K58" s="33">
        <v>460</v>
      </c>
      <c r="L58" s="33">
        <v>69</v>
      </c>
      <c r="M58" s="33">
        <v>2424.3000000000002</v>
      </c>
      <c r="N58" s="36">
        <v>0.73512198967803</v>
      </c>
      <c r="O58" s="32" t="s">
        <v>62</v>
      </c>
    </row>
    <row r="59" spans="1:16" ht="28.8" customHeight="1" x14ac:dyDescent="0.25">
      <c r="A59" s="8" t="s">
        <v>79</v>
      </c>
      <c r="B59" s="37">
        <v>86</v>
      </c>
      <c r="C59" s="37">
        <v>2</v>
      </c>
      <c r="D59" s="37">
        <v>43</v>
      </c>
      <c r="E59" s="37">
        <v>188</v>
      </c>
      <c r="F59" s="37">
        <v>2.1860465116279069</v>
      </c>
      <c r="G59" s="37">
        <v>20</v>
      </c>
      <c r="H59" s="38">
        <v>0</v>
      </c>
      <c r="I59" s="39">
        <v>0</v>
      </c>
      <c r="J59" s="40" t="s">
        <v>16</v>
      </c>
      <c r="K59" s="37">
        <v>342</v>
      </c>
      <c r="L59" s="37">
        <v>63</v>
      </c>
      <c r="M59" s="37">
        <v>552</v>
      </c>
      <c r="N59" s="98">
        <v>1</v>
      </c>
      <c r="O59" s="41" t="s">
        <v>80</v>
      </c>
      <c r="P59" s="92"/>
    </row>
    <row r="60" spans="1:16" ht="28.8" customHeight="1" x14ac:dyDescent="0.25">
      <c r="A60" s="8" t="s">
        <v>81</v>
      </c>
      <c r="B60" s="37">
        <v>86</v>
      </c>
      <c r="C60" s="37">
        <v>2</v>
      </c>
      <c r="D60" s="37">
        <v>43</v>
      </c>
      <c r="E60" s="37">
        <v>188</v>
      </c>
      <c r="F60" s="37">
        <v>2.1860465116279069</v>
      </c>
      <c r="G60" s="37">
        <v>20</v>
      </c>
      <c r="H60" s="38">
        <v>0</v>
      </c>
      <c r="I60" s="39">
        <v>0</v>
      </c>
      <c r="J60" s="40" t="s">
        <v>16</v>
      </c>
      <c r="K60" s="37">
        <v>342</v>
      </c>
      <c r="L60" s="37">
        <v>85.5</v>
      </c>
      <c r="M60" s="37">
        <v>700</v>
      </c>
      <c r="N60" s="98">
        <v>1</v>
      </c>
      <c r="O60" s="41" t="s">
        <v>80</v>
      </c>
      <c r="P60" s="92"/>
    </row>
    <row r="61" spans="1:16" ht="28.8" customHeight="1" x14ac:dyDescent="0.25">
      <c r="A61" s="8" t="s">
        <v>82</v>
      </c>
      <c r="B61" s="37">
        <v>86</v>
      </c>
      <c r="C61" s="37">
        <v>2</v>
      </c>
      <c r="D61" s="37">
        <v>43</v>
      </c>
      <c r="E61" s="37">
        <v>188</v>
      </c>
      <c r="F61" s="37">
        <v>2.1860465116279069</v>
      </c>
      <c r="G61" s="37">
        <v>20</v>
      </c>
      <c r="H61" s="38">
        <v>0</v>
      </c>
      <c r="I61" s="39">
        <v>0</v>
      </c>
      <c r="J61" s="40" t="s">
        <v>16</v>
      </c>
      <c r="K61" s="37">
        <v>342</v>
      </c>
      <c r="L61" s="37">
        <v>80.099999999999994</v>
      </c>
      <c r="M61" s="37">
        <v>644</v>
      </c>
      <c r="N61" s="98">
        <v>1</v>
      </c>
      <c r="O61" s="41" t="s">
        <v>80</v>
      </c>
      <c r="P61" s="92"/>
    </row>
    <row r="62" spans="1:16" ht="28.8" customHeight="1" x14ac:dyDescent="0.25">
      <c r="A62" s="8" t="s">
        <v>83</v>
      </c>
      <c r="B62" s="37">
        <v>86</v>
      </c>
      <c r="C62" s="37">
        <v>2</v>
      </c>
      <c r="D62" s="37">
        <v>43</v>
      </c>
      <c r="E62" s="37">
        <v>188</v>
      </c>
      <c r="F62" s="37">
        <v>2.1860465116279069</v>
      </c>
      <c r="G62" s="37">
        <v>20</v>
      </c>
      <c r="H62" s="38">
        <v>0</v>
      </c>
      <c r="I62" s="39">
        <v>0</v>
      </c>
      <c r="J62" s="40" t="s">
        <v>16</v>
      </c>
      <c r="K62" s="37">
        <v>342</v>
      </c>
      <c r="L62" s="37">
        <v>73.3</v>
      </c>
      <c r="M62" s="37">
        <v>625</v>
      </c>
      <c r="N62" s="98">
        <v>1</v>
      </c>
      <c r="O62" s="41" t="s">
        <v>80</v>
      </c>
      <c r="P62" s="92"/>
    </row>
    <row r="63" spans="1:16" ht="28.8" customHeight="1" x14ac:dyDescent="0.25">
      <c r="A63" s="8" t="s">
        <v>84</v>
      </c>
      <c r="B63" s="37">
        <v>88.9</v>
      </c>
      <c r="C63" s="37">
        <v>3.5</v>
      </c>
      <c r="D63" s="37">
        <v>25.4</v>
      </c>
      <c r="E63" s="37">
        <v>188</v>
      </c>
      <c r="F63" s="37">
        <v>2.1147356580427443</v>
      </c>
      <c r="G63" s="37">
        <v>20</v>
      </c>
      <c r="H63" s="38">
        <v>0</v>
      </c>
      <c r="I63" s="39">
        <v>0</v>
      </c>
      <c r="J63" s="40" t="s">
        <v>16</v>
      </c>
      <c r="K63" s="37">
        <v>342</v>
      </c>
      <c r="L63" s="37">
        <v>63</v>
      </c>
      <c r="M63" s="37">
        <v>764</v>
      </c>
      <c r="N63" s="98">
        <v>1</v>
      </c>
      <c r="O63" s="41" t="s">
        <v>80</v>
      </c>
      <c r="P63" s="92"/>
    </row>
    <row r="64" spans="1:16" ht="28.8" customHeight="1" x14ac:dyDescent="0.25">
      <c r="A64" s="8" t="s">
        <v>85</v>
      </c>
      <c r="B64" s="37">
        <v>88.9</v>
      </c>
      <c r="C64" s="37">
        <v>3.5</v>
      </c>
      <c r="D64" s="37">
        <v>25.4</v>
      </c>
      <c r="E64" s="37">
        <v>188</v>
      </c>
      <c r="F64" s="37">
        <v>2.1147356580427443</v>
      </c>
      <c r="G64" s="37">
        <v>20</v>
      </c>
      <c r="H64" s="38">
        <v>0</v>
      </c>
      <c r="I64" s="39">
        <v>0</v>
      </c>
      <c r="J64" s="40" t="s">
        <v>16</v>
      </c>
      <c r="K64" s="37">
        <v>342</v>
      </c>
      <c r="L64" s="37">
        <v>73.3</v>
      </c>
      <c r="M64" s="37">
        <v>825</v>
      </c>
      <c r="N64" s="98">
        <v>1</v>
      </c>
      <c r="O64" s="41" t="s">
        <v>80</v>
      </c>
      <c r="P64" s="92"/>
    </row>
    <row r="65" spans="1:16" ht="28.8" customHeight="1" x14ac:dyDescent="0.25">
      <c r="A65" s="8" t="s">
        <v>86</v>
      </c>
      <c r="B65" s="37">
        <v>88.9</v>
      </c>
      <c r="C65" s="37">
        <v>3.5</v>
      </c>
      <c r="D65" s="37">
        <v>25.4</v>
      </c>
      <c r="E65" s="37">
        <v>188</v>
      </c>
      <c r="F65" s="37">
        <v>2.1147356580427443</v>
      </c>
      <c r="G65" s="37">
        <v>20</v>
      </c>
      <c r="H65" s="38">
        <v>0</v>
      </c>
      <c r="I65" s="39">
        <v>0</v>
      </c>
      <c r="J65" s="40" t="s">
        <v>16</v>
      </c>
      <c r="K65" s="37">
        <v>342</v>
      </c>
      <c r="L65" s="37">
        <v>74.099999999999994</v>
      </c>
      <c r="M65" s="37">
        <v>805</v>
      </c>
      <c r="N65" s="98">
        <v>1</v>
      </c>
      <c r="O65" s="41" t="s">
        <v>80</v>
      </c>
      <c r="P65" s="92"/>
    </row>
    <row r="66" spans="1:16" ht="28.8" customHeight="1" x14ac:dyDescent="0.25">
      <c r="A66" s="8" t="s">
        <v>87</v>
      </c>
      <c r="B66" s="42">
        <v>86</v>
      </c>
      <c r="C66" s="42">
        <v>2</v>
      </c>
      <c r="D66" s="42">
        <v>43</v>
      </c>
      <c r="E66" s="42">
        <v>188</v>
      </c>
      <c r="F66" s="42">
        <v>2.1860465116279069</v>
      </c>
      <c r="G66" s="42">
        <v>250</v>
      </c>
      <c r="H66" s="43">
        <v>81</v>
      </c>
      <c r="I66" s="41">
        <v>18700</v>
      </c>
      <c r="J66" s="44" t="s">
        <v>21</v>
      </c>
      <c r="K66" s="42">
        <v>342</v>
      </c>
      <c r="L66" s="42">
        <v>63</v>
      </c>
      <c r="M66" s="42">
        <v>566</v>
      </c>
      <c r="N66" s="45">
        <v>1.02536231884058</v>
      </c>
      <c r="O66" s="41" t="s">
        <v>80</v>
      </c>
      <c r="P66" s="92"/>
    </row>
    <row r="67" spans="1:16" ht="28.8" customHeight="1" x14ac:dyDescent="0.25">
      <c r="A67" s="8" t="s">
        <v>88</v>
      </c>
      <c r="B67" s="42">
        <v>86</v>
      </c>
      <c r="C67" s="42">
        <v>2</v>
      </c>
      <c r="D67" s="42">
        <v>43</v>
      </c>
      <c r="E67" s="42">
        <v>188</v>
      </c>
      <c r="F67" s="42">
        <v>2.1860465116279069</v>
      </c>
      <c r="G67" s="42">
        <v>250</v>
      </c>
      <c r="H67" s="43">
        <v>81</v>
      </c>
      <c r="I67" s="41">
        <v>18700</v>
      </c>
      <c r="J67" s="44" t="s">
        <v>21</v>
      </c>
      <c r="K67" s="42">
        <v>342</v>
      </c>
      <c r="L67" s="42">
        <v>85.5</v>
      </c>
      <c r="M67" s="42">
        <v>601</v>
      </c>
      <c r="N67" s="45">
        <v>0.96160000000000001</v>
      </c>
      <c r="O67" s="41" t="s">
        <v>80</v>
      </c>
      <c r="P67" s="92"/>
    </row>
    <row r="68" spans="1:16" ht="28.8" customHeight="1" x14ac:dyDescent="0.25">
      <c r="A68" s="8" t="s">
        <v>89</v>
      </c>
      <c r="B68" s="42">
        <v>88.9</v>
      </c>
      <c r="C68" s="42">
        <v>3.5</v>
      </c>
      <c r="D68" s="42">
        <v>25.4</v>
      </c>
      <c r="E68" s="42">
        <v>188</v>
      </c>
      <c r="F68" s="42">
        <v>2.1147356580427443</v>
      </c>
      <c r="G68" s="42">
        <v>250</v>
      </c>
      <c r="H68" s="43">
        <v>81</v>
      </c>
      <c r="I68" s="41">
        <v>18700</v>
      </c>
      <c r="J68" s="44" t="s">
        <v>21</v>
      </c>
      <c r="K68" s="42">
        <v>342</v>
      </c>
      <c r="L68" s="42">
        <v>63</v>
      </c>
      <c r="M68" s="42">
        <v>728</v>
      </c>
      <c r="N68" s="45">
        <v>0.95287958115183202</v>
      </c>
      <c r="O68" s="41" t="s">
        <v>80</v>
      </c>
      <c r="P68" s="92"/>
    </row>
    <row r="69" spans="1:16" ht="28.8" customHeight="1" x14ac:dyDescent="0.25">
      <c r="A69" s="8" t="s">
        <v>90</v>
      </c>
      <c r="B69" s="42">
        <v>88.9</v>
      </c>
      <c r="C69" s="42">
        <v>3.5</v>
      </c>
      <c r="D69" s="42">
        <v>25.4</v>
      </c>
      <c r="E69" s="42">
        <v>188</v>
      </c>
      <c r="F69" s="42">
        <v>2.1147356580427443</v>
      </c>
      <c r="G69" s="42">
        <v>250</v>
      </c>
      <c r="H69" s="43">
        <v>81</v>
      </c>
      <c r="I69" s="41">
        <v>18700</v>
      </c>
      <c r="J69" s="44" t="s">
        <v>21</v>
      </c>
      <c r="K69" s="42">
        <v>342</v>
      </c>
      <c r="L69" s="42">
        <v>73.3</v>
      </c>
      <c r="M69" s="42">
        <v>763</v>
      </c>
      <c r="N69" s="45">
        <v>0.92484848484848503</v>
      </c>
      <c r="O69" s="41" t="s">
        <v>80</v>
      </c>
      <c r="P69" s="92"/>
    </row>
    <row r="70" spans="1:16" ht="28.8" customHeight="1" x14ac:dyDescent="0.25">
      <c r="A70" s="8" t="s">
        <v>91</v>
      </c>
      <c r="B70" s="42">
        <v>86</v>
      </c>
      <c r="C70" s="42">
        <v>2</v>
      </c>
      <c r="D70" s="42">
        <v>43</v>
      </c>
      <c r="E70" s="42">
        <v>188</v>
      </c>
      <c r="F70" s="42">
        <v>2.1860465116279069</v>
      </c>
      <c r="G70" s="42">
        <v>500</v>
      </c>
      <c r="H70" s="43">
        <v>94</v>
      </c>
      <c r="I70" s="41">
        <v>42100</v>
      </c>
      <c r="J70" s="44" t="s">
        <v>21</v>
      </c>
      <c r="K70" s="42">
        <v>342</v>
      </c>
      <c r="L70" s="42">
        <v>63</v>
      </c>
      <c r="M70" s="42">
        <v>501</v>
      </c>
      <c r="N70" s="45">
        <v>0.90760869565217395</v>
      </c>
      <c r="O70" s="41" t="s">
        <v>80</v>
      </c>
      <c r="P70" s="92"/>
    </row>
    <row r="71" spans="1:16" ht="28.8" customHeight="1" x14ac:dyDescent="0.25">
      <c r="A71" s="8" t="s">
        <v>92</v>
      </c>
      <c r="B71" s="42">
        <v>86</v>
      </c>
      <c r="C71" s="42">
        <v>2</v>
      </c>
      <c r="D71" s="42">
        <v>43</v>
      </c>
      <c r="E71" s="42">
        <v>188</v>
      </c>
      <c r="F71" s="42">
        <v>2.1860465116279069</v>
      </c>
      <c r="G71" s="42">
        <v>500</v>
      </c>
      <c r="H71" s="43">
        <v>94</v>
      </c>
      <c r="I71" s="41">
        <v>42100</v>
      </c>
      <c r="J71" s="44" t="s">
        <v>21</v>
      </c>
      <c r="K71" s="42">
        <v>342</v>
      </c>
      <c r="L71" s="42">
        <v>85.5</v>
      </c>
      <c r="M71" s="42">
        <v>663</v>
      </c>
      <c r="N71" s="45">
        <v>0.94714285714285695</v>
      </c>
      <c r="O71" s="41" t="s">
        <v>80</v>
      </c>
      <c r="P71" s="92"/>
    </row>
    <row r="72" spans="1:16" ht="28.8" customHeight="1" x14ac:dyDescent="0.25">
      <c r="A72" s="8" t="s">
        <v>93</v>
      </c>
      <c r="B72" s="42">
        <v>86</v>
      </c>
      <c r="C72" s="42">
        <v>2</v>
      </c>
      <c r="D72" s="42">
        <v>43</v>
      </c>
      <c r="E72" s="42">
        <v>188</v>
      </c>
      <c r="F72" s="42">
        <v>2.1860465116279069</v>
      </c>
      <c r="G72" s="42">
        <v>500</v>
      </c>
      <c r="H72" s="43">
        <v>94</v>
      </c>
      <c r="I72" s="41">
        <v>42100</v>
      </c>
      <c r="J72" s="44" t="s">
        <v>21</v>
      </c>
      <c r="K72" s="42">
        <v>342</v>
      </c>
      <c r="L72" s="42">
        <v>80.099999999999994</v>
      </c>
      <c r="M72" s="42">
        <v>628</v>
      </c>
      <c r="N72" s="45">
        <v>0.97515527950310599</v>
      </c>
      <c r="O72" s="41" t="s">
        <v>80</v>
      </c>
      <c r="P72" s="92"/>
    </row>
    <row r="73" spans="1:16" ht="28.8" customHeight="1" x14ac:dyDescent="0.25">
      <c r="A73" s="8" t="s">
        <v>94</v>
      </c>
      <c r="B73" s="42">
        <v>86</v>
      </c>
      <c r="C73" s="42">
        <v>2</v>
      </c>
      <c r="D73" s="42">
        <v>43</v>
      </c>
      <c r="E73" s="42">
        <v>188</v>
      </c>
      <c r="F73" s="42">
        <v>2.1860465116279069</v>
      </c>
      <c r="G73" s="42">
        <v>500</v>
      </c>
      <c r="H73" s="43">
        <v>94</v>
      </c>
      <c r="I73" s="41">
        <v>42100</v>
      </c>
      <c r="J73" s="44" t="s">
        <v>21</v>
      </c>
      <c r="K73" s="42">
        <v>342</v>
      </c>
      <c r="L73" s="42">
        <v>73.3</v>
      </c>
      <c r="M73" s="42">
        <v>594</v>
      </c>
      <c r="N73" s="45">
        <v>0.95040000000000002</v>
      </c>
      <c r="O73" s="41" t="s">
        <v>80</v>
      </c>
      <c r="P73" s="92"/>
    </row>
    <row r="74" spans="1:16" ht="28.8" customHeight="1" x14ac:dyDescent="0.25">
      <c r="A74" s="8" t="s">
        <v>95</v>
      </c>
      <c r="B74" s="42">
        <v>88.9</v>
      </c>
      <c r="C74" s="42">
        <v>3.5</v>
      </c>
      <c r="D74" s="42">
        <v>25.4</v>
      </c>
      <c r="E74" s="42">
        <v>188</v>
      </c>
      <c r="F74" s="42">
        <v>2.1147356580427443</v>
      </c>
      <c r="G74" s="42">
        <v>500</v>
      </c>
      <c r="H74" s="43">
        <v>94</v>
      </c>
      <c r="I74" s="41">
        <v>42100</v>
      </c>
      <c r="J74" s="44" t="s">
        <v>21</v>
      </c>
      <c r="K74" s="42">
        <v>342</v>
      </c>
      <c r="L74" s="42">
        <v>63</v>
      </c>
      <c r="M74" s="42">
        <v>681</v>
      </c>
      <c r="N74" s="45">
        <v>0.89136125654450304</v>
      </c>
      <c r="O74" s="41" t="s">
        <v>80</v>
      </c>
      <c r="P74" s="92"/>
    </row>
    <row r="75" spans="1:16" ht="28.8" customHeight="1" x14ac:dyDescent="0.25">
      <c r="A75" s="8" t="s">
        <v>96</v>
      </c>
      <c r="B75" s="42">
        <v>88.9</v>
      </c>
      <c r="C75" s="42">
        <v>3.5</v>
      </c>
      <c r="D75" s="42">
        <v>25.4</v>
      </c>
      <c r="E75" s="42">
        <v>188</v>
      </c>
      <c r="F75" s="42">
        <v>2.1147356580427443</v>
      </c>
      <c r="G75" s="42">
        <v>500</v>
      </c>
      <c r="H75" s="43">
        <v>94</v>
      </c>
      <c r="I75" s="41">
        <v>42100</v>
      </c>
      <c r="J75" s="44" t="s">
        <v>21</v>
      </c>
      <c r="K75" s="42">
        <v>342</v>
      </c>
      <c r="L75" s="42">
        <v>73.3</v>
      </c>
      <c r="M75" s="42">
        <v>734</v>
      </c>
      <c r="N75" s="45">
        <v>0.88969696969696999</v>
      </c>
      <c r="O75" s="41" t="s">
        <v>80</v>
      </c>
      <c r="P75" s="92"/>
    </row>
    <row r="76" spans="1:16" ht="28.8" customHeight="1" x14ac:dyDescent="0.25">
      <c r="A76" s="8" t="s">
        <v>97</v>
      </c>
      <c r="B76" s="42">
        <v>88.9</v>
      </c>
      <c r="C76" s="42">
        <v>3.5</v>
      </c>
      <c r="D76" s="42">
        <v>25.4</v>
      </c>
      <c r="E76" s="42">
        <v>188</v>
      </c>
      <c r="F76" s="42">
        <v>2.1147356580427443</v>
      </c>
      <c r="G76" s="42">
        <v>500</v>
      </c>
      <c r="H76" s="43">
        <v>113</v>
      </c>
      <c r="I76" s="41">
        <v>69400</v>
      </c>
      <c r="J76" s="44" t="s">
        <v>21</v>
      </c>
      <c r="K76" s="42">
        <v>342</v>
      </c>
      <c r="L76" s="42">
        <v>74.099999999999994</v>
      </c>
      <c r="M76" s="42">
        <v>759</v>
      </c>
      <c r="N76" s="45">
        <v>0.94285714285714295</v>
      </c>
      <c r="O76" s="41" t="s">
        <v>80</v>
      </c>
      <c r="P76" s="92"/>
    </row>
    <row r="77" spans="1:16" ht="28.8" customHeight="1" x14ac:dyDescent="0.25">
      <c r="A77" s="8" t="s">
        <v>98</v>
      </c>
      <c r="B77" s="42">
        <v>86</v>
      </c>
      <c r="C77" s="42">
        <v>2</v>
      </c>
      <c r="D77" s="42">
        <v>43</v>
      </c>
      <c r="E77" s="42">
        <v>188</v>
      </c>
      <c r="F77" s="42">
        <v>2.1860465116279069</v>
      </c>
      <c r="G77" s="42">
        <v>750</v>
      </c>
      <c r="H77" s="43">
        <v>113</v>
      </c>
      <c r="I77" s="41">
        <v>69400</v>
      </c>
      <c r="J77" s="44" t="s">
        <v>21</v>
      </c>
      <c r="K77" s="42">
        <v>342</v>
      </c>
      <c r="L77" s="42">
        <v>73.3</v>
      </c>
      <c r="M77" s="42">
        <v>409</v>
      </c>
      <c r="N77" s="45">
        <v>0.65439999999999998</v>
      </c>
      <c r="O77" s="41" t="s">
        <v>80</v>
      </c>
      <c r="P77" s="92"/>
    </row>
    <row r="78" spans="1:16" ht="28.8" customHeight="1" x14ac:dyDescent="0.25">
      <c r="A78" s="8" t="s">
        <v>99</v>
      </c>
      <c r="B78" s="14">
        <v>165.16</v>
      </c>
      <c r="C78" s="14">
        <v>4.5199999999999996</v>
      </c>
      <c r="D78" s="14">
        <v>36.54</v>
      </c>
      <c r="E78" s="14">
        <v>500</v>
      </c>
      <c r="F78" s="14">
        <v>3.0273674013078229</v>
      </c>
      <c r="G78" s="14">
        <v>20</v>
      </c>
      <c r="H78" s="11">
        <v>0</v>
      </c>
      <c r="I78" s="15">
        <v>0</v>
      </c>
      <c r="J78" s="12" t="s">
        <v>16</v>
      </c>
      <c r="K78" s="14">
        <v>442.92</v>
      </c>
      <c r="L78" s="14">
        <v>45.28</v>
      </c>
      <c r="M78" s="14">
        <v>2192</v>
      </c>
      <c r="N78" s="99">
        <v>1</v>
      </c>
      <c r="O78" s="13" t="s">
        <v>100</v>
      </c>
      <c r="P78" s="92"/>
    </row>
    <row r="79" spans="1:16" ht="28.8" customHeight="1" x14ac:dyDescent="0.25">
      <c r="A79" s="8" t="s">
        <v>101</v>
      </c>
      <c r="B79" s="17">
        <v>165.16</v>
      </c>
      <c r="C79" s="17">
        <v>4.5199999999999996</v>
      </c>
      <c r="D79" s="17">
        <v>36.54</v>
      </c>
      <c r="E79" s="17">
        <v>500</v>
      </c>
      <c r="F79" s="17">
        <v>3.0273674013078229</v>
      </c>
      <c r="G79" s="17">
        <v>200</v>
      </c>
      <c r="H79" s="18">
        <f t="array" ref="H79:H82">G79:G82/5+120</f>
        <v>160</v>
      </c>
      <c r="I79" s="13">
        <f t="array" ref="I79:I82">G79:G82/5*G79:G82+G79:G82*120</f>
        <v>32000</v>
      </c>
      <c r="J79" s="46" t="s">
        <v>21</v>
      </c>
      <c r="K79" s="17">
        <v>411.84</v>
      </c>
      <c r="L79" s="17">
        <v>45.28</v>
      </c>
      <c r="M79" s="17">
        <v>2168</v>
      </c>
      <c r="N79" s="47">
        <v>0.98905109489051102</v>
      </c>
      <c r="O79" s="13" t="s">
        <v>100</v>
      </c>
      <c r="P79" s="92"/>
    </row>
    <row r="80" spans="1:16" ht="28.8" customHeight="1" x14ac:dyDescent="0.25">
      <c r="A80" s="8" t="s">
        <v>102</v>
      </c>
      <c r="B80" s="17">
        <v>165.16</v>
      </c>
      <c r="C80" s="17">
        <v>4.5199999999999996</v>
      </c>
      <c r="D80" s="17">
        <v>36.54</v>
      </c>
      <c r="E80" s="17">
        <v>500</v>
      </c>
      <c r="F80" s="17">
        <v>3.0273674013078229</v>
      </c>
      <c r="G80" s="17">
        <v>400</v>
      </c>
      <c r="H80" s="18">
        <v>200</v>
      </c>
      <c r="I80" s="13">
        <v>80000</v>
      </c>
      <c r="J80" s="46" t="s">
        <v>21</v>
      </c>
      <c r="K80" s="17">
        <v>393.32</v>
      </c>
      <c r="L80" s="17">
        <v>45.28</v>
      </c>
      <c r="M80" s="17">
        <v>2109</v>
      </c>
      <c r="N80" s="47">
        <v>0.96213503649635002</v>
      </c>
      <c r="O80" s="13" t="s">
        <v>100</v>
      </c>
      <c r="P80" s="92"/>
    </row>
    <row r="81" spans="1:16" ht="28.8" customHeight="1" x14ac:dyDescent="0.25">
      <c r="A81" s="8" t="s">
        <v>103</v>
      </c>
      <c r="B81" s="17">
        <v>165.16</v>
      </c>
      <c r="C81" s="17">
        <v>4.5199999999999996</v>
      </c>
      <c r="D81" s="17">
        <v>36.54</v>
      </c>
      <c r="E81" s="17">
        <v>500</v>
      </c>
      <c r="F81" s="17">
        <v>3.0273674013078229</v>
      </c>
      <c r="G81" s="17">
        <v>600</v>
      </c>
      <c r="H81" s="18">
        <v>240</v>
      </c>
      <c r="I81" s="13">
        <v>144000</v>
      </c>
      <c r="J81" s="46" t="s">
        <v>21</v>
      </c>
      <c r="K81" s="17">
        <v>335.26</v>
      </c>
      <c r="L81" s="17">
        <v>45.28</v>
      </c>
      <c r="M81" s="17">
        <v>2031</v>
      </c>
      <c r="N81" s="47">
        <v>0.92655109489051102</v>
      </c>
      <c r="O81" s="13" t="s">
        <v>100</v>
      </c>
      <c r="P81" s="92"/>
    </row>
    <row r="82" spans="1:16" ht="28.8" customHeight="1" x14ac:dyDescent="0.25">
      <c r="A82" s="8" t="s">
        <v>104</v>
      </c>
      <c r="B82" s="17">
        <v>165.16</v>
      </c>
      <c r="C82" s="17">
        <v>4.5199999999999996</v>
      </c>
      <c r="D82" s="17">
        <v>36.54</v>
      </c>
      <c r="E82" s="17">
        <v>500</v>
      </c>
      <c r="F82" s="17">
        <v>3.0273674013078229</v>
      </c>
      <c r="G82" s="17">
        <v>800</v>
      </c>
      <c r="H82" s="18">
        <v>280</v>
      </c>
      <c r="I82" s="13">
        <v>224000</v>
      </c>
      <c r="J82" s="46" t="s">
        <v>21</v>
      </c>
      <c r="K82" s="17">
        <v>295.11</v>
      </c>
      <c r="L82" s="17">
        <v>45.28</v>
      </c>
      <c r="M82" s="17">
        <v>1752</v>
      </c>
      <c r="N82" s="47">
        <v>0.79927007299270103</v>
      </c>
      <c r="O82" s="13" t="s">
        <v>100</v>
      </c>
      <c r="P82" s="92"/>
    </row>
    <row r="83" spans="1:16" ht="28.8" customHeight="1" x14ac:dyDescent="0.25">
      <c r="A83" s="8" t="s">
        <v>105</v>
      </c>
      <c r="B83" s="14">
        <v>114.32</v>
      </c>
      <c r="C83" s="14">
        <v>4.58</v>
      </c>
      <c r="D83" s="14">
        <v>24.96</v>
      </c>
      <c r="E83" s="14">
        <v>900</v>
      </c>
      <c r="F83" s="14">
        <v>7.8726382085374391</v>
      </c>
      <c r="G83" s="14">
        <v>20</v>
      </c>
      <c r="H83" s="11">
        <v>0</v>
      </c>
      <c r="I83" s="15">
        <v>0</v>
      </c>
      <c r="J83" s="12" t="s">
        <v>16</v>
      </c>
      <c r="K83" s="14">
        <v>415.57</v>
      </c>
      <c r="L83" s="14">
        <v>45.28</v>
      </c>
      <c r="M83" s="14">
        <v>1423</v>
      </c>
      <c r="N83" s="99">
        <v>1</v>
      </c>
      <c r="O83" s="13" t="s">
        <v>100</v>
      </c>
      <c r="P83" s="92"/>
    </row>
    <row r="84" spans="1:16" ht="28.8" customHeight="1" x14ac:dyDescent="0.25">
      <c r="A84" s="8" t="s">
        <v>106</v>
      </c>
      <c r="B84" s="17">
        <v>114.32</v>
      </c>
      <c r="C84" s="17">
        <v>4.58</v>
      </c>
      <c r="D84" s="17">
        <v>24.96</v>
      </c>
      <c r="E84" s="17">
        <v>900</v>
      </c>
      <c r="F84" s="17">
        <v>7.8726382085374391</v>
      </c>
      <c r="G84" s="17">
        <v>200</v>
      </c>
      <c r="H84" s="18">
        <f t="array" ref="H84:H87">G84:G87/5+120</f>
        <v>160</v>
      </c>
      <c r="I84" s="13">
        <f t="array" ref="I84:I87">G84:G87/5*G84:G87+G84:G87*120</f>
        <v>32000</v>
      </c>
      <c r="J84" s="46" t="s">
        <v>21</v>
      </c>
      <c r="K84" s="17">
        <v>412.43</v>
      </c>
      <c r="L84" s="17">
        <v>45.28</v>
      </c>
      <c r="M84" s="17">
        <v>1408</v>
      </c>
      <c r="N84" s="47">
        <v>0.98945888966971196</v>
      </c>
      <c r="O84" s="13" t="s">
        <v>100</v>
      </c>
      <c r="P84" s="92"/>
    </row>
    <row r="85" spans="1:16" ht="28.8" customHeight="1" x14ac:dyDescent="0.25">
      <c r="A85" s="8" t="s">
        <v>107</v>
      </c>
      <c r="B85" s="17">
        <v>114.32</v>
      </c>
      <c r="C85" s="17">
        <v>4.58</v>
      </c>
      <c r="D85" s="17">
        <v>24.96</v>
      </c>
      <c r="E85" s="17">
        <v>900</v>
      </c>
      <c r="F85" s="17">
        <v>7.8726382085374391</v>
      </c>
      <c r="G85" s="17">
        <v>400</v>
      </c>
      <c r="H85" s="18">
        <v>200</v>
      </c>
      <c r="I85" s="13">
        <v>80000</v>
      </c>
      <c r="J85" s="46" t="s">
        <v>21</v>
      </c>
      <c r="K85" s="17">
        <v>402.39</v>
      </c>
      <c r="L85" s="17">
        <v>45.28</v>
      </c>
      <c r="M85" s="17">
        <v>1355</v>
      </c>
      <c r="N85" s="47">
        <v>0.95221363316936003</v>
      </c>
      <c r="O85" s="13" t="s">
        <v>100</v>
      </c>
      <c r="P85" s="92"/>
    </row>
    <row r="86" spans="1:16" ht="28.8" customHeight="1" x14ac:dyDescent="0.25">
      <c r="A86" s="8" t="s">
        <v>108</v>
      </c>
      <c r="B86" s="17">
        <v>114.32</v>
      </c>
      <c r="C86" s="17">
        <v>4.58</v>
      </c>
      <c r="D86" s="17">
        <v>24.96</v>
      </c>
      <c r="E86" s="17">
        <v>900</v>
      </c>
      <c r="F86" s="17">
        <v>7.8726382085374391</v>
      </c>
      <c r="G86" s="17">
        <v>600</v>
      </c>
      <c r="H86" s="18">
        <v>240</v>
      </c>
      <c r="I86" s="13">
        <v>144000</v>
      </c>
      <c r="J86" s="46" t="s">
        <v>21</v>
      </c>
      <c r="K86" s="17">
        <v>396.31</v>
      </c>
      <c r="L86" s="17">
        <v>45.28</v>
      </c>
      <c r="M86" s="17">
        <v>1193</v>
      </c>
      <c r="N86" s="47">
        <v>0.83836964160224903</v>
      </c>
      <c r="O86" s="13" t="s">
        <v>100</v>
      </c>
      <c r="P86" s="92"/>
    </row>
    <row r="87" spans="1:16" ht="28.8" customHeight="1" x14ac:dyDescent="0.25">
      <c r="A87" s="8" t="s">
        <v>109</v>
      </c>
      <c r="B87" s="17">
        <v>114.32</v>
      </c>
      <c r="C87" s="17">
        <v>4.58</v>
      </c>
      <c r="D87" s="17">
        <v>24.96</v>
      </c>
      <c r="E87" s="17">
        <v>900</v>
      </c>
      <c r="F87" s="17">
        <v>7.8726382085374391</v>
      </c>
      <c r="G87" s="17">
        <v>800</v>
      </c>
      <c r="H87" s="18">
        <v>280</v>
      </c>
      <c r="I87" s="13">
        <v>224000</v>
      </c>
      <c r="J87" s="46" t="s">
        <v>21</v>
      </c>
      <c r="K87" s="17">
        <v>320.18</v>
      </c>
      <c r="L87" s="17">
        <v>45.28</v>
      </c>
      <c r="M87" s="17">
        <v>992</v>
      </c>
      <c r="N87" s="47">
        <v>0.69711876317638799</v>
      </c>
      <c r="O87" s="13" t="s">
        <v>100</v>
      </c>
      <c r="P87" s="92"/>
    </row>
    <row r="88" spans="1:16" x14ac:dyDescent="0.25">
      <c r="A88" s="8" t="s">
        <v>110</v>
      </c>
      <c r="B88" s="30">
        <v>165</v>
      </c>
      <c r="C88" s="30">
        <v>4</v>
      </c>
      <c r="D88" s="30">
        <f t="array" ref="D88:D114">B88:B114/C88:C114</f>
        <v>41.25</v>
      </c>
      <c r="E88" s="30">
        <v>440</v>
      </c>
      <c r="F88" s="30">
        <v>2.6666666666666665</v>
      </c>
      <c r="G88" s="30">
        <v>20</v>
      </c>
      <c r="H88" s="29">
        <v>0</v>
      </c>
      <c r="I88" s="30">
        <v>0</v>
      </c>
      <c r="J88" s="31" t="s">
        <v>16</v>
      </c>
      <c r="K88" s="30">
        <v>329.1</v>
      </c>
      <c r="L88" s="30">
        <v>46.6</v>
      </c>
      <c r="M88" s="30">
        <v>1746.94739037708</v>
      </c>
      <c r="N88" s="100">
        <v>1</v>
      </c>
      <c r="O88" s="32" t="s">
        <v>111</v>
      </c>
      <c r="P88" s="92"/>
    </row>
    <row r="89" spans="1:16" x14ac:dyDescent="0.25">
      <c r="A89" s="8" t="s">
        <v>112</v>
      </c>
      <c r="B89" s="32">
        <v>165</v>
      </c>
      <c r="C89" s="32">
        <v>4</v>
      </c>
      <c r="D89" s="32">
        <v>41.25</v>
      </c>
      <c r="E89" s="32">
        <v>440</v>
      </c>
      <c r="F89" s="32">
        <v>2.6666666666666665</v>
      </c>
      <c r="G89" s="32">
        <v>200</v>
      </c>
      <c r="H89" s="48" t="s">
        <v>113</v>
      </c>
      <c r="I89" s="32">
        <v>10500</v>
      </c>
      <c r="J89" s="35" t="s">
        <v>68</v>
      </c>
      <c r="K89" s="32">
        <v>329.1</v>
      </c>
      <c r="L89" s="32">
        <v>46.6</v>
      </c>
      <c r="M89" s="32">
        <v>1742.67089737739</v>
      </c>
      <c r="N89" s="49">
        <v>0.99755201958384898</v>
      </c>
      <c r="O89" s="32" t="s">
        <v>111</v>
      </c>
      <c r="P89" s="92"/>
    </row>
    <row r="90" spans="1:16" x14ac:dyDescent="0.25">
      <c r="A90" s="8" t="s">
        <v>114</v>
      </c>
      <c r="B90" s="32">
        <v>165</v>
      </c>
      <c r="C90" s="32">
        <v>4</v>
      </c>
      <c r="D90" s="32">
        <v>41.25</v>
      </c>
      <c r="E90" s="32">
        <v>440</v>
      </c>
      <c r="F90" s="32">
        <v>2.6666666666666665</v>
      </c>
      <c r="G90" s="32">
        <v>400</v>
      </c>
      <c r="H90" s="48" t="s">
        <v>115</v>
      </c>
      <c r="I90" s="32">
        <v>32000</v>
      </c>
      <c r="J90" s="35" t="s">
        <v>68</v>
      </c>
      <c r="K90" s="32">
        <v>329.1</v>
      </c>
      <c r="L90" s="32">
        <v>46.6</v>
      </c>
      <c r="M90" s="32">
        <v>1599.4083818874699</v>
      </c>
      <c r="N90" s="49">
        <v>0.9155446756426</v>
      </c>
      <c r="O90" s="32" t="s">
        <v>111</v>
      </c>
      <c r="P90" s="92"/>
    </row>
    <row r="91" spans="1:16" x14ac:dyDescent="0.25">
      <c r="A91" s="8" t="s">
        <v>116</v>
      </c>
      <c r="B91" s="32">
        <v>165</v>
      </c>
      <c r="C91" s="32">
        <v>4</v>
      </c>
      <c r="D91" s="32">
        <v>41.25</v>
      </c>
      <c r="E91" s="32">
        <v>440</v>
      </c>
      <c r="F91" s="32">
        <v>2.6666666666666665</v>
      </c>
      <c r="G91" s="32">
        <v>600</v>
      </c>
      <c r="H91" s="48" t="s">
        <v>117</v>
      </c>
      <c r="I91" s="32">
        <v>86000</v>
      </c>
      <c r="J91" s="35" t="s">
        <v>68</v>
      </c>
      <c r="K91" s="32">
        <v>329.1</v>
      </c>
      <c r="L91" s="32">
        <v>46.6</v>
      </c>
      <c r="M91" s="32">
        <v>1518.1550148931799</v>
      </c>
      <c r="N91" s="49">
        <v>0.86903304773561896</v>
      </c>
      <c r="O91" s="32" t="s">
        <v>111</v>
      </c>
      <c r="P91" s="92"/>
    </row>
    <row r="92" spans="1:16" x14ac:dyDescent="0.25">
      <c r="A92" s="8" t="s">
        <v>118</v>
      </c>
      <c r="B92" s="32">
        <v>165</v>
      </c>
      <c r="C92" s="32">
        <v>4</v>
      </c>
      <c r="D92" s="32">
        <v>41.25</v>
      </c>
      <c r="E92" s="32">
        <v>440</v>
      </c>
      <c r="F92" s="32">
        <v>2.6666666666666665</v>
      </c>
      <c r="G92" s="32">
        <v>800</v>
      </c>
      <c r="H92" s="48" t="s">
        <v>119</v>
      </c>
      <c r="I92" s="32">
        <v>215000</v>
      </c>
      <c r="J92" s="35" t="s">
        <v>68</v>
      </c>
      <c r="K92" s="32">
        <v>329.1</v>
      </c>
      <c r="L92" s="32">
        <v>46.6</v>
      </c>
      <c r="M92" s="32">
        <v>1411.2426899007</v>
      </c>
      <c r="N92" s="49">
        <v>0.80783353733170105</v>
      </c>
      <c r="O92" s="32" t="s">
        <v>111</v>
      </c>
      <c r="P92" s="92"/>
    </row>
    <row r="93" spans="1:16" x14ac:dyDescent="0.25">
      <c r="A93" s="8" t="s">
        <v>120</v>
      </c>
      <c r="B93" s="30">
        <v>165</v>
      </c>
      <c r="C93" s="30">
        <v>4</v>
      </c>
      <c r="D93" s="30">
        <v>41.25</v>
      </c>
      <c r="E93" s="30">
        <v>440</v>
      </c>
      <c r="F93" s="30">
        <v>2.6666666666666665</v>
      </c>
      <c r="G93" s="30">
        <v>20</v>
      </c>
      <c r="H93" s="29">
        <v>0</v>
      </c>
      <c r="I93" s="30">
        <v>0</v>
      </c>
      <c r="J93" s="31" t="s">
        <v>16</v>
      </c>
      <c r="K93" s="30">
        <v>329.1</v>
      </c>
      <c r="L93" s="30">
        <v>43.9</v>
      </c>
      <c r="M93" s="30">
        <v>1776.88284137498</v>
      </c>
      <c r="N93" s="100">
        <v>1</v>
      </c>
      <c r="O93" s="32" t="s">
        <v>111</v>
      </c>
      <c r="P93" s="92"/>
    </row>
    <row r="94" spans="1:16" x14ac:dyDescent="0.25">
      <c r="A94" s="8" t="s">
        <v>121</v>
      </c>
      <c r="B94" s="32">
        <v>165</v>
      </c>
      <c r="C94" s="32">
        <v>4</v>
      </c>
      <c r="D94" s="32">
        <v>41.25</v>
      </c>
      <c r="E94" s="32">
        <v>440</v>
      </c>
      <c r="F94" s="32">
        <v>2.6666666666666665</v>
      </c>
      <c r="G94" s="32">
        <v>200</v>
      </c>
      <c r="H94" s="48" t="s">
        <v>113</v>
      </c>
      <c r="I94" s="32">
        <v>10500</v>
      </c>
      <c r="J94" s="35" t="s">
        <v>68</v>
      </c>
      <c r="K94" s="32">
        <v>329.1</v>
      </c>
      <c r="L94" s="32">
        <v>43.9</v>
      </c>
      <c r="M94" s="32">
        <v>1746.94739037708</v>
      </c>
      <c r="N94" s="49">
        <v>0.98315282791816705</v>
      </c>
      <c r="O94" s="32" t="s">
        <v>111</v>
      </c>
      <c r="P94" s="92"/>
    </row>
    <row r="95" spans="1:16" x14ac:dyDescent="0.25">
      <c r="A95" s="8" t="s">
        <v>122</v>
      </c>
      <c r="B95" s="32">
        <v>165</v>
      </c>
      <c r="C95" s="32">
        <v>4</v>
      </c>
      <c r="D95" s="32">
        <v>41.25</v>
      </c>
      <c r="E95" s="32">
        <v>440</v>
      </c>
      <c r="F95" s="32">
        <v>2.6666666666666665</v>
      </c>
      <c r="G95" s="32">
        <v>400</v>
      </c>
      <c r="H95" s="48" t="s">
        <v>115</v>
      </c>
      <c r="I95" s="32">
        <v>32000</v>
      </c>
      <c r="J95" s="35" t="s">
        <v>68</v>
      </c>
      <c r="K95" s="32">
        <v>329.1</v>
      </c>
      <c r="L95" s="32">
        <v>43.9</v>
      </c>
      <c r="M95" s="32">
        <v>1610.0996143867101</v>
      </c>
      <c r="N95" s="49">
        <v>0.90613718411552102</v>
      </c>
      <c r="O95" s="32" t="s">
        <v>111</v>
      </c>
      <c r="P95" s="92"/>
    </row>
    <row r="96" spans="1:16" x14ac:dyDescent="0.25">
      <c r="A96" s="8" t="s">
        <v>123</v>
      </c>
      <c r="B96" s="32">
        <v>165</v>
      </c>
      <c r="C96" s="32">
        <v>4</v>
      </c>
      <c r="D96" s="32">
        <v>41.25</v>
      </c>
      <c r="E96" s="32">
        <v>440</v>
      </c>
      <c r="F96" s="32">
        <v>2.6666666666666665</v>
      </c>
      <c r="G96" s="32">
        <v>600</v>
      </c>
      <c r="H96" s="48" t="s">
        <v>117</v>
      </c>
      <c r="I96" s="32">
        <v>86000</v>
      </c>
      <c r="J96" s="35" t="s">
        <v>68</v>
      </c>
      <c r="K96" s="32">
        <v>329.1</v>
      </c>
      <c r="L96" s="32">
        <v>43.9</v>
      </c>
      <c r="M96" s="32">
        <v>1550.22871239093</v>
      </c>
      <c r="N96" s="49">
        <v>0.872442839951867</v>
      </c>
      <c r="O96" s="32" t="s">
        <v>111</v>
      </c>
      <c r="P96" s="92"/>
    </row>
    <row r="97" spans="1:16" x14ac:dyDescent="0.25">
      <c r="A97" s="8" t="s">
        <v>124</v>
      </c>
      <c r="B97" s="32">
        <v>165</v>
      </c>
      <c r="C97" s="32">
        <v>4</v>
      </c>
      <c r="D97" s="32">
        <v>41.25</v>
      </c>
      <c r="E97" s="32">
        <v>440</v>
      </c>
      <c r="F97" s="32">
        <v>2.6666666666666665</v>
      </c>
      <c r="G97" s="32">
        <v>800</v>
      </c>
      <c r="H97" s="48" t="s">
        <v>119</v>
      </c>
      <c r="I97" s="32">
        <v>215000</v>
      </c>
      <c r="J97" s="35" t="s">
        <v>68</v>
      </c>
      <c r="K97" s="32">
        <v>329.1</v>
      </c>
      <c r="L97" s="32">
        <v>43.9</v>
      </c>
      <c r="M97" s="32">
        <v>1312.8833509076301</v>
      </c>
      <c r="N97" s="49">
        <v>0.73886883273165105</v>
      </c>
      <c r="O97" s="32" t="s">
        <v>111</v>
      </c>
      <c r="P97" s="92"/>
    </row>
    <row r="98" spans="1:16" x14ac:dyDescent="0.25">
      <c r="A98" s="8" t="s">
        <v>125</v>
      </c>
      <c r="B98" s="30">
        <v>165</v>
      </c>
      <c r="C98" s="30">
        <v>4</v>
      </c>
      <c r="D98" s="30">
        <v>41.25</v>
      </c>
      <c r="E98" s="30">
        <v>440</v>
      </c>
      <c r="F98" s="30">
        <v>2.6666666666666665</v>
      </c>
      <c r="G98" s="30">
        <v>20</v>
      </c>
      <c r="H98" s="29">
        <v>0</v>
      </c>
      <c r="I98" s="30">
        <v>0</v>
      </c>
      <c r="J98" s="31" t="s">
        <v>16</v>
      </c>
      <c r="K98" s="30">
        <v>329.1</v>
      </c>
      <c r="L98" s="30">
        <v>43.2</v>
      </c>
      <c r="M98" s="30">
        <v>1862.4127013689599</v>
      </c>
      <c r="N98" s="100">
        <v>1</v>
      </c>
      <c r="O98" s="32" t="s">
        <v>111</v>
      </c>
      <c r="P98" s="92"/>
    </row>
    <row r="99" spans="1:16" x14ac:dyDescent="0.25">
      <c r="A99" s="8" t="s">
        <v>126</v>
      </c>
      <c r="B99" s="32">
        <v>165</v>
      </c>
      <c r="C99" s="32">
        <v>4</v>
      </c>
      <c r="D99" s="32">
        <v>41.25</v>
      </c>
      <c r="E99" s="32">
        <v>440</v>
      </c>
      <c r="F99" s="32">
        <v>2.6666666666666665</v>
      </c>
      <c r="G99" s="32">
        <v>200</v>
      </c>
      <c r="H99" s="48" t="s">
        <v>113</v>
      </c>
      <c r="I99" s="32">
        <v>10500</v>
      </c>
      <c r="J99" s="35" t="s">
        <v>68</v>
      </c>
      <c r="K99" s="32">
        <v>329.1</v>
      </c>
      <c r="L99" s="32">
        <v>43.2</v>
      </c>
      <c r="M99" s="32">
        <v>1759.77686937618</v>
      </c>
      <c r="N99" s="49">
        <v>0.94489092996555601</v>
      </c>
      <c r="O99" s="32" t="s">
        <v>111</v>
      </c>
      <c r="P99" s="92"/>
    </row>
    <row r="100" spans="1:16" x14ac:dyDescent="0.25">
      <c r="A100" s="8" t="s">
        <v>127</v>
      </c>
      <c r="B100" s="32">
        <v>165</v>
      </c>
      <c r="C100" s="32">
        <v>4</v>
      </c>
      <c r="D100" s="32">
        <v>41.25</v>
      </c>
      <c r="E100" s="32">
        <v>440</v>
      </c>
      <c r="F100" s="32">
        <v>2.6666666666666665</v>
      </c>
      <c r="G100" s="32">
        <v>400</v>
      </c>
      <c r="H100" s="48" t="s">
        <v>115</v>
      </c>
      <c r="I100" s="32">
        <v>32000</v>
      </c>
      <c r="J100" s="35" t="s">
        <v>68</v>
      </c>
      <c r="K100" s="32">
        <v>329.1</v>
      </c>
      <c r="L100" s="32">
        <v>43.2</v>
      </c>
      <c r="M100" s="32">
        <v>1640.0350653846101</v>
      </c>
      <c r="N100" s="49">
        <v>0.88059701492537501</v>
      </c>
      <c r="O100" s="32" t="s">
        <v>111</v>
      </c>
      <c r="P100" s="92"/>
    </row>
    <row r="101" spans="1:16" x14ac:dyDescent="0.25">
      <c r="A101" s="8" t="s">
        <v>128</v>
      </c>
      <c r="B101" s="32">
        <v>165</v>
      </c>
      <c r="C101" s="32">
        <v>4</v>
      </c>
      <c r="D101" s="32">
        <v>41.25</v>
      </c>
      <c r="E101" s="32">
        <v>440</v>
      </c>
      <c r="F101" s="32">
        <v>2.6666666666666665</v>
      </c>
      <c r="G101" s="32">
        <v>600</v>
      </c>
      <c r="H101" s="48" t="s">
        <v>117</v>
      </c>
      <c r="I101" s="32">
        <v>86000</v>
      </c>
      <c r="J101" s="35" t="s">
        <v>68</v>
      </c>
      <c r="K101" s="32">
        <v>329.1</v>
      </c>
      <c r="L101" s="32">
        <v>43.2</v>
      </c>
      <c r="M101" s="32">
        <v>1503.18728939424</v>
      </c>
      <c r="N101" s="49">
        <v>0.80711825487945199</v>
      </c>
      <c r="O101" s="32" t="s">
        <v>111</v>
      </c>
      <c r="P101" s="92"/>
    </row>
    <row r="102" spans="1:16" x14ac:dyDescent="0.25">
      <c r="A102" s="8" t="s">
        <v>129</v>
      </c>
      <c r="B102" s="32">
        <v>165</v>
      </c>
      <c r="C102" s="32">
        <v>4</v>
      </c>
      <c r="D102" s="32">
        <v>41.25</v>
      </c>
      <c r="E102" s="32">
        <v>440</v>
      </c>
      <c r="F102" s="32">
        <v>2.6666666666666665</v>
      </c>
      <c r="G102" s="32">
        <v>800</v>
      </c>
      <c r="H102" s="48" t="s">
        <v>119</v>
      </c>
      <c r="I102" s="32">
        <v>215000</v>
      </c>
      <c r="J102" s="35" t="s">
        <v>68</v>
      </c>
      <c r="K102" s="32">
        <v>329.1</v>
      </c>
      <c r="L102" s="32">
        <v>43.2</v>
      </c>
      <c r="M102" s="32">
        <v>1400.5514574014601</v>
      </c>
      <c r="N102" s="49">
        <v>0.75200918484500801</v>
      </c>
      <c r="O102" s="32" t="s">
        <v>111</v>
      </c>
      <c r="P102" s="92"/>
    </row>
    <row r="103" spans="1:16" x14ac:dyDescent="0.25">
      <c r="A103" s="8" t="s">
        <v>130</v>
      </c>
      <c r="B103" s="30">
        <v>165</v>
      </c>
      <c r="C103" s="30">
        <v>4</v>
      </c>
      <c r="D103" s="30">
        <v>41.25</v>
      </c>
      <c r="E103" s="30">
        <v>440</v>
      </c>
      <c r="F103" s="30">
        <v>2.6666666666666665</v>
      </c>
      <c r="G103" s="30">
        <v>20</v>
      </c>
      <c r="H103" s="29">
        <v>0</v>
      </c>
      <c r="I103" s="30">
        <v>0</v>
      </c>
      <c r="J103" s="31" t="s">
        <v>16</v>
      </c>
      <c r="K103" s="30">
        <v>329.1</v>
      </c>
      <c r="L103" s="30">
        <v>48.7</v>
      </c>
      <c r="M103" s="30">
        <v>1969.32502636144</v>
      </c>
      <c r="N103" s="100">
        <v>1</v>
      </c>
      <c r="O103" s="32" t="s">
        <v>111</v>
      </c>
      <c r="P103" s="92"/>
    </row>
    <row r="104" spans="1:16" x14ac:dyDescent="0.25">
      <c r="A104" s="8" t="s">
        <v>131</v>
      </c>
      <c r="B104" s="32">
        <v>165</v>
      </c>
      <c r="C104" s="32">
        <v>4</v>
      </c>
      <c r="D104" s="32">
        <v>41.25</v>
      </c>
      <c r="E104" s="32">
        <v>440</v>
      </c>
      <c r="F104" s="32">
        <v>2.6666666666666665</v>
      </c>
      <c r="G104" s="32">
        <v>200</v>
      </c>
      <c r="H104" s="48" t="s">
        <v>113</v>
      </c>
      <c r="I104" s="32">
        <v>10500</v>
      </c>
      <c r="J104" s="35" t="s">
        <v>68</v>
      </c>
      <c r="K104" s="32">
        <v>329.1</v>
      </c>
      <c r="L104" s="32">
        <v>48.7</v>
      </c>
      <c r="M104" s="32">
        <v>1772.60634837528</v>
      </c>
      <c r="N104" s="49">
        <v>0.900108577633007</v>
      </c>
      <c r="O104" s="32" t="s">
        <v>111</v>
      </c>
      <c r="P104" s="92"/>
    </row>
    <row r="105" spans="1:16" x14ac:dyDescent="0.25">
      <c r="A105" s="8" t="s">
        <v>132</v>
      </c>
      <c r="B105" s="32">
        <v>165</v>
      </c>
      <c r="C105" s="32">
        <v>4</v>
      </c>
      <c r="D105" s="32">
        <v>41.25</v>
      </c>
      <c r="E105" s="32">
        <v>440</v>
      </c>
      <c r="F105" s="32">
        <v>2.6666666666666665</v>
      </c>
      <c r="G105" s="32">
        <v>400</v>
      </c>
      <c r="H105" s="48" t="s">
        <v>115</v>
      </c>
      <c r="I105" s="32">
        <v>32000</v>
      </c>
      <c r="J105" s="35" t="s">
        <v>68</v>
      </c>
      <c r="K105" s="32">
        <v>329.1</v>
      </c>
      <c r="L105" s="32">
        <v>48.7</v>
      </c>
      <c r="M105" s="32">
        <v>1702.04421388024</v>
      </c>
      <c r="N105" s="49">
        <v>0.86427795874049695</v>
      </c>
      <c r="O105" s="32" t="s">
        <v>111</v>
      </c>
      <c r="P105" s="92"/>
    </row>
    <row r="106" spans="1:16" x14ac:dyDescent="0.25">
      <c r="A106" s="8" t="s">
        <v>133</v>
      </c>
      <c r="B106" s="32">
        <v>165</v>
      </c>
      <c r="C106" s="32">
        <v>4</v>
      </c>
      <c r="D106" s="32">
        <v>41.25</v>
      </c>
      <c r="E106" s="32">
        <v>440</v>
      </c>
      <c r="F106" s="32">
        <v>2.6666666666666665</v>
      </c>
      <c r="G106" s="32">
        <v>600</v>
      </c>
      <c r="H106" s="48" t="s">
        <v>117</v>
      </c>
      <c r="I106" s="32">
        <v>86000</v>
      </c>
      <c r="J106" s="35" t="s">
        <v>68</v>
      </c>
      <c r="K106" s="32">
        <v>329.1</v>
      </c>
      <c r="L106" s="32">
        <v>48.7</v>
      </c>
      <c r="M106" s="32">
        <v>1513.87852189348</v>
      </c>
      <c r="N106" s="49">
        <v>0.76872964169380897</v>
      </c>
      <c r="O106" s="32" t="s">
        <v>111</v>
      </c>
      <c r="P106" s="92"/>
    </row>
    <row r="107" spans="1:16" x14ac:dyDescent="0.25">
      <c r="A107" s="8" t="s">
        <v>134</v>
      </c>
      <c r="B107" s="32">
        <v>165</v>
      </c>
      <c r="C107" s="32">
        <v>4</v>
      </c>
      <c r="D107" s="32">
        <v>41.25</v>
      </c>
      <c r="E107" s="32">
        <v>440</v>
      </c>
      <c r="F107" s="32">
        <v>2.6666666666666665</v>
      </c>
      <c r="G107" s="32">
        <v>800</v>
      </c>
      <c r="H107" s="48" t="s">
        <v>119</v>
      </c>
      <c r="I107" s="32">
        <v>215000</v>
      </c>
      <c r="J107" s="35" t="s">
        <v>68</v>
      </c>
      <c r="K107" s="32">
        <v>329.1</v>
      </c>
      <c r="L107" s="32">
        <v>48.7</v>
      </c>
      <c r="M107" s="32">
        <v>1436.9016478988999</v>
      </c>
      <c r="N107" s="49">
        <v>0.72964169381107402</v>
      </c>
      <c r="O107" s="32" t="s">
        <v>111</v>
      </c>
      <c r="P107" s="92"/>
    </row>
    <row r="108" spans="1:16" x14ac:dyDescent="0.25">
      <c r="A108" s="8" t="s">
        <v>135</v>
      </c>
      <c r="B108" s="30">
        <v>165</v>
      </c>
      <c r="C108" s="30">
        <v>4</v>
      </c>
      <c r="D108" s="30">
        <v>41.25</v>
      </c>
      <c r="E108" s="30">
        <v>440</v>
      </c>
      <c r="F108" s="30">
        <v>2.6666666666666665</v>
      </c>
      <c r="G108" s="30">
        <v>20</v>
      </c>
      <c r="H108" s="29">
        <v>0</v>
      </c>
      <c r="I108" s="30">
        <v>0</v>
      </c>
      <c r="J108" s="31" t="s">
        <v>16</v>
      </c>
      <c r="K108" s="30">
        <v>329.1</v>
      </c>
      <c r="L108" s="30">
        <v>41.4</v>
      </c>
      <c r="M108" s="30">
        <v>2018.5046958579801</v>
      </c>
      <c r="N108" s="100">
        <v>1</v>
      </c>
      <c r="O108" s="32" t="s">
        <v>111</v>
      </c>
      <c r="P108" s="92"/>
    </row>
    <row r="109" spans="1:16" x14ac:dyDescent="0.25">
      <c r="A109" s="8" t="s">
        <v>136</v>
      </c>
      <c r="B109" s="32">
        <v>165</v>
      </c>
      <c r="C109" s="32">
        <v>4</v>
      </c>
      <c r="D109" s="32">
        <v>41.25</v>
      </c>
      <c r="E109" s="32">
        <v>440</v>
      </c>
      <c r="F109" s="32">
        <v>2.6666666666666665</v>
      </c>
      <c r="G109" s="32">
        <v>200</v>
      </c>
      <c r="H109" s="48" t="s">
        <v>113</v>
      </c>
      <c r="I109" s="32">
        <v>10500</v>
      </c>
      <c r="J109" s="35" t="s">
        <v>68</v>
      </c>
      <c r="K109" s="32">
        <v>329.1</v>
      </c>
      <c r="L109" s="32">
        <v>41.4</v>
      </c>
      <c r="M109" s="32">
        <v>1751.2238833767799</v>
      </c>
      <c r="N109" s="49">
        <v>0.86758474576270905</v>
      </c>
      <c r="O109" s="32" t="s">
        <v>111</v>
      </c>
      <c r="P109" s="92"/>
    </row>
    <row r="110" spans="1:16" x14ac:dyDescent="0.25">
      <c r="A110" s="8" t="s">
        <v>137</v>
      </c>
      <c r="B110" s="32">
        <v>165</v>
      </c>
      <c r="C110" s="32">
        <v>4</v>
      </c>
      <c r="D110" s="32">
        <v>41.25</v>
      </c>
      <c r="E110" s="32">
        <v>440</v>
      </c>
      <c r="F110" s="32">
        <v>2.6666666666666665</v>
      </c>
      <c r="G110" s="32">
        <v>400</v>
      </c>
      <c r="H110" s="48" t="s">
        <v>115</v>
      </c>
      <c r="I110" s="32">
        <v>32000</v>
      </c>
      <c r="J110" s="35" t="s">
        <v>68</v>
      </c>
      <c r="K110" s="32">
        <v>329.1</v>
      </c>
      <c r="L110" s="32">
        <v>41.4</v>
      </c>
      <c r="M110" s="32">
        <v>1614.37610738641</v>
      </c>
      <c r="N110" s="49">
        <v>0.79978813559321804</v>
      </c>
      <c r="O110" s="32" t="s">
        <v>111</v>
      </c>
      <c r="P110" s="92"/>
    </row>
    <row r="111" spans="1:16" x14ac:dyDescent="0.25">
      <c r="A111" s="8" t="s">
        <v>138</v>
      </c>
      <c r="B111" s="32">
        <v>165</v>
      </c>
      <c r="C111" s="32">
        <v>4</v>
      </c>
      <c r="D111" s="32">
        <v>41.25</v>
      </c>
      <c r="E111" s="32">
        <v>440</v>
      </c>
      <c r="F111" s="32">
        <v>2.6666666666666665</v>
      </c>
      <c r="G111" s="32">
        <v>600</v>
      </c>
      <c r="H111" s="48" t="s">
        <v>117</v>
      </c>
      <c r="I111" s="32">
        <v>86000</v>
      </c>
      <c r="J111" s="35" t="s">
        <v>68</v>
      </c>
      <c r="K111" s="32">
        <v>329.1</v>
      </c>
      <c r="L111" s="32">
        <v>41.4</v>
      </c>
      <c r="M111" s="32">
        <v>1462.56060589709</v>
      </c>
      <c r="N111" s="49">
        <v>0.72457627118643797</v>
      </c>
      <c r="O111" s="32" t="s">
        <v>111</v>
      </c>
      <c r="P111" s="92"/>
    </row>
    <row r="112" spans="1:16" x14ac:dyDescent="0.25">
      <c r="A112" s="8" t="s">
        <v>139</v>
      </c>
      <c r="B112" s="32">
        <v>165</v>
      </c>
      <c r="C112" s="32">
        <v>4</v>
      </c>
      <c r="D112" s="32">
        <v>41.25</v>
      </c>
      <c r="E112" s="32">
        <v>440</v>
      </c>
      <c r="F112" s="32">
        <v>2.6666666666666665</v>
      </c>
      <c r="G112" s="32">
        <v>800</v>
      </c>
      <c r="H112" s="48" t="s">
        <v>119</v>
      </c>
      <c r="I112" s="32">
        <v>215000</v>
      </c>
      <c r="J112" s="35" t="s">
        <v>68</v>
      </c>
      <c r="K112" s="32">
        <v>329.1</v>
      </c>
      <c r="L112" s="32">
        <v>41.4</v>
      </c>
      <c r="M112" s="32">
        <v>1285.0861464095799</v>
      </c>
      <c r="N112" s="49">
        <v>0.63665254237288005</v>
      </c>
      <c r="O112" s="32" t="s">
        <v>111</v>
      </c>
      <c r="P112" s="92"/>
    </row>
    <row r="113" spans="1:16" x14ac:dyDescent="0.25">
      <c r="A113" s="8" t="s">
        <v>140</v>
      </c>
      <c r="B113" s="32">
        <v>165</v>
      </c>
      <c r="C113" s="32">
        <v>4</v>
      </c>
      <c r="D113" s="32">
        <v>41.25</v>
      </c>
      <c r="E113" s="32">
        <v>440</v>
      </c>
      <c r="F113" s="32">
        <v>2.6666666666666665</v>
      </c>
      <c r="G113" s="32">
        <v>400</v>
      </c>
      <c r="H113" s="48" t="s">
        <v>115</v>
      </c>
      <c r="I113" s="32">
        <v>32000</v>
      </c>
      <c r="J113" s="35" t="s">
        <v>21</v>
      </c>
      <c r="K113" s="32">
        <v>329.1</v>
      </c>
      <c r="L113" s="32">
        <v>41.4</v>
      </c>
      <c r="M113" s="32">
        <v>1791.8505668739299</v>
      </c>
      <c r="N113" s="49">
        <v>0.88771186440678096</v>
      </c>
      <c r="O113" s="32" t="s">
        <v>111</v>
      </c>
      <c r="P113" s="92"/>
    </row>
    <row r="114" spans="1:16" x14ac:dyDescent="0.25">
      <c r="A114" s="8" t="s">
        <v>141</v>
      </c>
      <c r="B114" s="32">
        <v>165</v>
      </c>
      <c r="C114" s="32">
        <v>4</v>
      </c>
      <c r="D114" s="32">
        <v>41.25</v>
      </c>
      <c r="E114" s="32">
        <v>440</v>
      </c>
      <c r="F114" s="32">
        <v>2.6666666666666665</v>
      </c>
      <c r="G114" s="32">
        <v>600</v>
      </c>
      <c r="H114" s="48" t="s">
        <v>117</v>
      </c>
      <c r="I114" s="32">
        <v>86000</v>
      </c>
      <c r="J114" s="35" t="s">
        <v>21</v>
      </c>
      <c r="K114" s="32">
        <v>329.1</v>
      </c>
      <c r="L114" s="32">
        <v>41.4</v>
      </c>
      <c r="M114" s="32">
        <v>1441.1781408986001</v>
      </c>
      <c r="N114" s="49">
        <v>0.71398305084745795</v>
      </c>
      <c r="O114" s="32" t="s">
        <v>111</v>
      </c>
      <c r="P114" s="92"/>
    </row>
    <row r="115" spans="1:16" x14ac:dyDescent="0.25">
      <c r="A115" s="8" t="s">
        <v>142</v>
      </c>
      <c r="B115" s="50">
        <v>108</v>
      </c>
      <c r="C115" s="50">
        <v>4</v>
      </c>
      <c r="D115" s="50">
        <f t="shared" ref="D115:D138" si="0">B115/C115</f>
        <v>27</v>
      </c>
      <c r="E115" s="50">
        <v>324</v>
      </c>
      <c r="F115" s="50">
        <v>3</v>
      </c>
      <c r="G115" s="50">
        <v>20</v>
      </c>
      <c r="H115" s="51">
        <v>0</v>
      </c>
      <c r="I115" s="50">
        <v>0</v>
      </c>
      <c r="J115" s="52" t="s">
        <v>16</v>
      </c>
      <c r="K115" s="50">
        <v>430</v>
      </c>
      <c r="L115" s="50">
        <v>56</v>
      </c>
      <c r="M115" s="50">
        <v>1202</v>
      </c>
      <c r="N115" s="101">
        <v>1</v>
      </c>
      <c r="O115" s="53" t="s">
        <v>143</v>
      </c>
    </row>
    <row r="116" spans="1:16" x14ac:dyDescent="0.25">
      <c r="A116" s="8" t="s">
        <v>144</v>
      </c>
      <c r="B116" s="50">
        <v>108</v>
      </c>
      <c r="C116" s="50">
        <v>4</v>
      </c>
      <c r="D116" s="50">
        <f t="shared" si="0"/>
        <v>27</v>
      </c>
      <c r="E116" s="50">
        <v>324</v>
      </c>
      <c r="F116" s="50">
        <v>3</v>
      </c>
      <c r="G116" s="50">
        <v>20</v>
      </c>
      <c r="H116" s="51">
        <v>0</v>
      </c>
      <c r="I116" s="50">
        <v>0</v>
      </c>
      <c r="J116" s="52" t="s">
        <v>16</v>
      </c>
      <c r="K116" s="50">
        <v>430</v>
      </c>
      <c r="L116" s="50">
        <v>61</v>
      </c>
      <c r="M116" s="50">
        <v>1343</v>
      </c>
      <c r="N116" s="101">
        <v>1</v>
      </c>
      <c r="O116" s="53" t="s">
        <v>143</v>
      </c>
    </row>
    <row r="117" spans="1:16" x14ac:dyDescent="0.25">
      <c r="A117" s="8" t="s">
        <v>145</v>
      </c>
      <c r="B117" s="50">
        <v>108</v>
      </c>
      <c r="C117" s="50">
        <v>4</v>
      </c>
      <c r="D117" s="50">
        <f t="shared" si="0"/>
        <v>27</v>
      </c>
      <c r="E117" s="50">
        <v>324</v>
      </c>
      <c r="F117" s="50">
        <v>3</v>
      </c>
      <c r="G117" s="50">
        <v>20</v>
      </c>
      <c r="H117" s="51">
        <v>0</v>
      </c>
      <c r="I117" s="50">
        <v>0</v>
      </c>
      <c r="J117" s="52" t="s">
        <v>16</v>
      </c>
      <c r="K117" s="50">
        <v>430</v>
      </c>
      <c r="L117" s="50">
        <v>84</v>
      </c>
      <c r="M117" s="50">
        <v>1447</v>
      </c>
      <c r="N117" s="101">
        <v>1</v>
      </c>
      <c r="O117" s="53" t="s">
        <v>143</v>
      </c>
    </row>
    <row r="118" spans="1:16" x14ac:dyDescent="0.25">
      <c r="A118" s="8" t="s">
        <v>146</v>
      </c>
      <c r="B118" s="50">
        <v>108</v>
      </c>
      <c r="C118" s="50">
        <v>4</v>
      </c>
      <c r="D118" s="50">
        <f t="shared" si="0"/>
        <v>27</v>
      </c>
      <c r="E118" s="50">
        <v>324</v>
      </c>
      <c r="F118" s="50">
        <v>3</v>
      </c>
      <c r="G118" s="50">
        <v>20</v>
      </c>
      <c r="H118" s="51">
        <v>0</v>
      </c>
      <c r="I118" s="50">
        <v>0</v>
      </c>
      <c r="J118" s="52" t="s">
        <v>16</v>
      </c>
      <c r="K118" s="50">
        <v>430</v>
      </c>
      <c r="L118" s="50">
        <v>100</v>
      </c>
      <c r="M118" s="50">
        <v>1437</v>
      </c>
      <c r="N118" s="101">
        <v>1</v>
      </c>
      <c r="O118" s="53" t="s">
        <v>143</v>
      </c>
    </row>
    <row r="119" spans="1:16" x14ac:dyDescent="0.25">
      <c r="A119" s="8" t="s">
        <v>147</v>
      </c>
      <c r="B119" s="53">
        <v>108</v>
      </c>
      <c r="C119" s="53">
        <v>4</v>
      </c>
      <c r="D119" s="53">
        <f t="shared" si="0"/>
        <v>27</v>
      </c>
      <c r="E119" s="53">
        <v>324</v>
      </c>
      <c r="F119" s="53">
        <v>3</v>
      </c>
      <c r="G119" s="53">
        <v>300</v>
      </c>
      <c r="H119" s="54">
        <v>400</v>
      </c>
      <c r="I119" s="53">
        <f>280*300/2+300*120</f>
        <v>78000</v>
      </c>
      <c r="J119" s="55" t="s">
        <v>21</v>
      </c>
      <c r="K119" s="53">
        <v>430</v>
      </c>
      <c r="L119" s="53">
        <v>56</v>
      </c>
      <c r="M119" s="53">
        <v>1333</v>
      </c>
      <c r="N119" s="56">
        <v>1.1089850249583999</v>
      </c>
      <c r="O119" s="53" t="s">
        <v>143</v>
      </c>
    </row>
    <row r="120" spans="1:16" x14ac:dyDescent="0.25">
      <c r="A120" s="8" t="s">
        <v>148</v>
      </c>
      <c r="B120" s="53">
        <v>108</v>
      </c>
      <c r="C120" s="53">
        <v>4</v>
      </c>
      <c r="D120" s="53">
        <f t="shared" si="0"/>
        <v>27</v>
      </c>
      <c r="E120" s="53">
        <v>324</v>
      </c>
      <c r="F120" s="53">
        <v>3</v>
      </c>
      <c r="G120" s="53">
        <v>300</v>
      </c>
      <c r="H120" s="54">
        <v>400</v>
      </c>
      <c r="I120" s="53">
        <f>280*300/2+300*120</f>
        <v>78000</v>
      </c>
      <c r="J120" s="55" t="s">
        <v>21</v>
      </c>
      <c r="K120" s="53">
        <v>430</v>
      </c>
      <c r="L120" s="53">
        <v>61</v>
      </c>
      <c r="M120" s="53">
        <v>1308</v>
      </c>
      <c r="N120" s="56">
        <v>0.97393894266567405</v>
      </c>
      <c r="O120" s="53" t="s">
        <v>143</v>
      </c>
    </row>
    <row r="121" spans="1:16" x14ac:dyDescent="0.25">
      <c r="A121" s="8" t="s">
        <v>149</v>
      </c>
      <c r="B121" s="53">
        <v>108</v>
      </c>
      <c r="C121" s="53">
        <v>4</v>
      </c>
      <c r="D121" s="53">
        <f t="shared" si="0"/>
        <v>27</v>
      </c>
      <c r="E121" s="53">
        <v>324</v>
      </c>
      <c r="F121" s="53">
        <v>3</v>
      </c>
      <c r="G121" s="53">
        <v>300</v>
      </c>
      <c r="H121" s="54">
        <v>400</v>
      </c>
      <c r="I121" s="53">
        <f>280*300/2+300*120</f>
        <v>78000</v>
      </c>
      <c r="J121" s="55" t="s">
        <v>21</v>
      </c>
      <c r="K121" s="53">
        <v>430</v>
      </c>
      <c r="L121" s="53">
        <v>84</v>
      </c>
      <c r="M121" s="53">
        <v>1396</v>
      </c>
      <c r="N121" s="56">
        <v>0.96475466482377303</v>
      </c>
      <c r="O121" s="53" t="s">
        <v>143</v>
      </c>
    </row>
    <row r="122" spans="1:16" x14ac:dyDescent="0.25">
      <c r="A122" s="8" t="s">
        <v>150</v>
      </c>
      <c r="B122" s="53">
        <v>108</v>
      </c>
      <c r="C122" s="53">
        <v>4</v>
      </c>
      <c r="D122" s="53">
        <f t="shared" si="0"/>
        <v>27</v>
      </c>
      <c r="E122" s="53">
        <v>324</v>
      </c>
      <c r="F122" s="53">
        <v>3</v>
      </c>
      <c r="G122" s="53">
        <v>300</v>
      </c>
      <c r="H122" s="54">
        <v>400</v>
      </c>
      <c r="I122" s="53">
        <f>280*300/2+300*120</f>
        <v>78000</v>
      </c>
      <c r="J122" s="55" t="s">
        <v>21</v>
      </c>
      <c r="K122" s="53">
        <v>430</v>
      </c>
      <c r="L122" s="53">
        <v>100</v>
      </c>
      <c r="M122" s="53">
        <v>1422</v>
      </c>
      <c r="N122" s="56">
        <v>0.98956158663883098</v>
      </c>
      <c r="O122" s="53" t="s">
        <v>143</v>
      </c>
    </row>
    <row r="123" spans="1:16" x14ac:dyDescent="0.25">
      <c r="A123" s="8" t="s">
        <v>151</v>
      </c>
      <c r="B123" s="53">
        <v>108</v>
      </c>
      <c r="C123" s="53">
        <v>4</v>
      </c>
      <c r="D123" s="53">
        <f t="shared" si="0"/>
        <v>27</v>
      </c>
      <c r="E123" s="53">
        <v>324</v>
      </c>
      <c r="F123" s="53">
        <v>3</v>
      </c>
      <c r="G123" s="53">
        <v>700</v>
      </c>
      <c r="H123" s="54" t="s">
        <v>152</v>
      </c>
      <c r="I123" s="53">
        <f>680*700/2+700*120</f>
        <v>322000</v>
      </c>
      <c r="J123" s="55" t="s">
        <v>21</v>
      </c>
      <c r="K123" s="53">
        <v>430</v>
      </c>
      <c r="L123" s="53">
        <v>56</v>
      </c>
      <c r="M123" s="53">
        <v>769</v>
      </c>
      <c r="N123" s="56">
        <v>0.57689422355588904</v>
      </c>
      <c r="O123" s="53" t="s">
        <v>143</v>
      </c>
    </row>
    <row r="124" spans="1:16" x14ac:dyDescent="0.25">
      <c r="A124" s="8" t="s">
        <v>153</v>
      </c>
      <c r="B124" s="53">
        <v>108</v>
      </c>
      <c r="C124" s="53">
        <v>4</v>
      </c>
      <c r="D124" s="53">
        <f t="shared" si="0"/>
        <v>27</v>
      </c>
      <c r="E124" s="53">
        <v>324</v>
      </c>
      <c r="F124" s="53">
        <v>3</v>
      </c>
      <c r="G124" s="53">
        <v>700</v>
      </c>
      <c r="H124" s="54" t="s">
        <v>152</v>
      </c>
      <c r="I124" s="53">
        <f>680*700/2+700*120</f>
        <v>322000</v>
      </c>
      <c r="J124" s="55" t="s">
        <v>21</v>
      </c>
      <c r="K124" s="53">
        <v>430</v>
      </c>
      <c r="L124" s="53">
        <v>61</v>
      </c>
      <c r="M124" s="53">
        <v>762</v>
      </c>
      <c r="N124" s="56">
        <v>0.58256880733944905</v>
      </c>
      <c r="O124" s="53" t="s">
        <v>143</v>
      </c>
    </row>
    <row r="125" spans="1:16" x14ac:dyDescent="0.25">
      <c r="A125" s="8" t="s">
        <v>154</v>
      </c>
      <c r="B125" s="53">
        <v>108</v>
      </c>
      <c r="C125" s="53">
        <v>4</v>
      </c>
      <c r="D125" s="53">
        <f t="shared" si="0"/>
        <v>27</v>
      </c>
      <c r="E125" s="53">
        <v>324</v>
      </c>
      <c r="F125" s="53">
        <v>3</v>
      </c>
      <c r="G125" s="53">
        <v>700</v>
      </c>
      <c r="H125" s="54" t="s">
        <v>152</v>
      </c>
      <c r="I125" s="53">
        <f>680*700/2+700*120</f>
        <v>322000</v>
      </c>
      <c r="J125" s="55" t="s">
        <v>21</v>
      </c>
      <c r="K125" s="53">
        <v>430</v>
      </c>
      <c r="L125" s="53">
        <v>84</v>
      </c>
      <c r="M125" s="53">
        <v>747</v>
      </c>
      <c r="N125" s="56">
        <v>0.53510028653295105</v>
      </c>
      <c r="O125" s="53" t="s">
        <v>143</v>
      </c>
    </row>
    <row r="126" spans="1:16" x14ac:dyDescent="0.25">
      <c r="A126" s="8" t="s">
        <v>155</v>
      </c>
      <c r="B126" s="53">
        <v>108</v>
      </c>
      <c r="C126" s="53">
        <v>4</v>
      </c>
      <c r="D126" s="53">
        <f t="shared" si="0"/>
        <v>27</v>
      </c>
      <c r="E126" s="53">
        <v>324</v>
      </c>
      <c r="F126" s="53">
        <v>3</v>
      </c>
      <c r="G126" s="53">
        <v>700</v>
      </c>
      <c r="H126" s="54" t="s">
        <v>152</v>
      </c>
      <c r="I126" s="53">
        <f>680*700/2+700*120</f>
        <v>322000</v>
      </c>
      <c r="J126" s="55" t="s">
        <v>21</v>
      </c>
      <c r="K126" s="53">
        <v>430</v>
      </c>
      <c r="L126" s="53">
        <v>100</v>
      </c>
      <c r="M126" s="53">
        <v>633</v>
      </c>
      <c r="N126" s="56">
        <v>0.44514767932489502</v>
      </c>
      <c r="O126" s="53" t="s">
        <v>143</v>
      </c>
    </row>
    <row r="127" spans="1:16" x14ac:dyDescent="0.25">
      <c r="A127" s="8" t="s">
        <v>156</v>
      </c>
      <c r="B127" s="50">
        <v>108</v>
      </c>
      <c r="C127" s="50">
        <v>4</v>
      </c>
      <c r="D127" s="50">
        <f t="shared" si="0"/>
        <v>27</v>
      </c>
      <c r="E127" s="50">
        <v>324</v>
      </c>
      <c r="F127" s="50">
        <v>3</v>
      </c>
      <c r="G127" s="50">
        <v>20</v>
      </c>
      <c r="H127" s="51">
        <v>0</v>
      </c>
      <c r="I127" s="50">
        <v>0</v>
      </c>
      <c r="J127" s="52" t="s">
        <v>16</v>
      </c>
      <c r="K127" s="50">
        <v>430</v>
      </c>
      <c r="L127" s="50">
        <v>65</v>
      </c>
      <c r="M127" s="50">
        <v>1370</v>
      </c>
      <c r="N127" s="101">
        <v>1</v>
      </c>
      <c r="O127" s="53" t="s">
        <v>143</v>
      </c>
    </row>
    <row r="128" spans="1:16" x14ac:dyDescent="0.25">
      <c r="A128" s="8" t="s">
        <v>157</v>
      </c>
      <c r="B128" s="50">
        <v>108</v>
      </c>
      <c r="C128" s="50">
        <v>4</v>
      </c>
      <c r="D128" s="50">
        <f t="shared" si="0"/>
        <v>27</v>
      </c>
      <c r="E128" s="50">
        <v>324</v>
      </c>
      <c r="F128" s="50">
        <v>3</v>
      </c>
      <c r="G128" s="50">
        <v>20</v>
      </c>
      <c r="H128" s="51">
        <v>0</v>
      </c>
      <c r="I128" s="50">
        <v>0</v>
      </c>
      <c r="J128" s="52" t="s">
        <v>16</v>
      </c>
      <c r="K128" s="50">
        <v>430</v>
      </c>
      <c r="L128" s="50">
        <v>75</v>
      </c>
      <c r="M128" s="50">
        <v>1479</v>
      </c>
      <c r="N128" s="101">
        <v>1</v>
      </c>
      <c r="O128" s="53" t="s">
        <v>143</v>
      </c>
    </row>
    <row r="129" spans="1:15" x14ac:dyDescent="0.25">
      <c r="A129" s="8" t="s">
        <v>158</v>
      </c>
      <c r="B129" s="50">
        <v>108</v>
      </c>
      <c r="C129" s="50">
        <v>4</v>
      </c>
      <c r="D129" s="50">
        <f t="shared" si="0"/>
        <v>27</v>
      </c>
      <c r="E129" s="50">
        <v>324</v>
      </c>
      <c r="F129" s="50">
        <v>3</v>
      </c>
      <c r="G129" s="50">
        <v>20</v>
      </c>
      <c r="H129" s="51">
        <v>0</v>
      </c>
      <c r="I129" s="50">
        <v>0</v>
      </c>
      <c r="J129" s="52" t="s">
        <v>16</v>
      </c>
      <c r="K129" s="50">
        <v>430</v>
      </c>
      <c r="L129" s="50">
        <v>88</v>
      </c>
      <c r="M129" s="50">
        <v>1580</v>
      </c>
      <c r="N129" s="101">
        <v>1</v>
      </c>
      <c r="O129" s="53" t="s">
        <v>143</v>
      </c>
    </row>
    <row r="130" spans="1:15" x14ac:dyDescent="0.25">
      <c r="A130" s="8" t="s">
        <v>159</v>
      </c>
      <c r="B130" s="50">
        <v>108</v>
      </c>
      <c r="C130" s="50">
        <v>4</v>
      </c>
      <c r="D130" s="50">
        <f t="shared" si="0"/>
        <v>27</v>
      </c>
      <c r="E130" s="50">
        <v>324</v>
      </c>
      <c r="F130" s="50">
        <v>3</v>
      </c>
      <c r="G130" s="50">
        <v>20</v>
      </c>
      <c r="H130" s="51">
        <v>0</v>
      </c>
      <c r="I130" s="50">
        <v>0</v>
      </c>
      <c r="J130" s="52" t="s">
        <v>16</v>
      </c>
      <c r="K130" s="50">
        <v>430</v>
      </c>
      <c r="L130" s="50">
        <v>110</v>
      </c>
      <c r="M130" s="50">
        <v>1632</v>
      </c>
      <c r="N130" s="101">
        <v>1</v>
      </c>
      <c r="O130" s="53" t="s">
        <v>143</v>
      </c>
    </row>
    <row r="131" spans="1:15" x14ac:dyDescent="0.25">
      <c r="A131" s="8" t="s">
        <v>160</v>
      </c>
      <c r="B131" s="53">
        <v>108</v>
      </c>
      <c r="C131" s="53">
        <v>4</v>
      </c>
      <c r="D131" s="53">
        <f t="shared" si="0"/>
        <v>27</v>
      </c>
      <c r="E131" s="53">
        <v>324</v>
      </c>
      <c r="F131" s="53">
        <v>3</v>
      </c>
      <c r="G131" s="53">
        <v>300</v>
      </c>
      <c r="H131" s="54">
        <v>400</v>
      </c>
      <c r="I131" s="53">
        <f>280*300/2+300*120</f>
        <v>78000</v>
      </c>
      <c r="J131" s="55" t="s">
        <v>21</v>
      </c>
      <c r="K131" s="53">
        <v>430</v>
      </c>
      <c r="L131" s="53">
        <v>65</v>
      </c>
      <c r="M131" s="53">
        <v>1660</v>
      </c>
      <c r="N131" s="56">
        <v>1.21167883211679</v>
      </c>
      <c r="O131" s="53" t="s">
        <v>143</v>
      </c>
    </row>
    <row r="132" spans="1:15" x14ac:dyDescent="0.25">
      <c r="A132" s="8" t="s">
        <v>161</v>
      </c>
      <c r="B132" s="53">
        <v>108</v>
      </c>
      <c r="C132" s="53">
        <v>4</v>
      </c>
      <c r="D132" s="53">
        <f t="shared" si="0"/>
        <v>27</v>
      </c>
      <c r="E132" s="53">
        <v>324</v>
      </c>
      <c r="F132" s="53">
        <v>3</v>
      </c>
      <c r="G132" s="53">
        <v>300</v>
      </c>
      <c r="H132" s="54">
        <v>400</v>
      </c>
      <c r="I132" s="53">
        <f>280*300/2+300*120</f>
        <v>78000</v>
      </c>
      <c r="J132" s="55" t="s">
        <v>21</v>
      </c>
      <c r="K132" s="53">
        <v>430</v>
      </c>
      <c r="L132" s="53">
        <v>75</v>
      </c>
      <c r="M132" s="53">
        <v>1638</v>
      </c>
      <c r="N132" s="56">
        <v>1.10750507099391</v>
      </c>
      <c r="O132" s="53" t="s">
        <v>143</v>
      </c>
    </row>
    <row r="133" spans="1:15" x14ac:dyDescent="0.25">
      <c r="A133" s="8" t="s">
        <v>162</v>
      </c>
      <c r="B133" s="53">
        <v>108</v>
      </c>
      <c r="C133" s="53">
        <v>4</v>
      </c>
      <c r="D133" s="53">
        <f t="shared" si="0"/>
        <v>27</v>
      </c>
      <c r="E133" s="53">
        <v>324</v>
      </c>
      <c r="F133" s="53">
        <v>3</v>
      </c>
      <c r="G133" s="53">
        <v>300</v>
      </c>
      <c r="H133" s="54">
        <v>400</v>
      </c>
      <c r="I133" s="53">
        <f>280*300/2+300*120</f>
        <v>78000</v>
      </c>
      <c r="J133" s="55" t="s">
        <v>21</v>
      </c>
      <c r="K133" s="53">
        <v>430</v>
      </c>
      <c r="L133" s="53">
        <v>88</v>
      </c>
      <c r="M133" s="53">
        <v>1681</v>
      </c>
      <c r="N133" s="56">
        <v>1.06392405063291</v>
      </c>
      <c r="O133" s="53" t="s">
        <v>143</v>
      </c>
    </row>
    <row r="134" spans="1:15" x14ac:dyDescent="0.25">
      <c r="A134" s="8" t="s">
        <v>163</v>
      </c>
      <c r="B134" s="53">
        <v>108</v>
      </c>
      <c r="C134" s="53">
        <v>4</v>
      </c>
      <c r="D134" s="53">
        <f t="shared" si="0"/>
        <v>27</v>
      </c>
      <c r="E134" s="53">
        <v>324</v>
      </c>
      <c r="F134" s="53">
        <v>3</v>
      </c>
      <c r="G134" s="53">
        <v>300</v>
      </c>
      <c r="H134" s="54">
        <v>400</v>
      </c>
      <c r="I134" s="53">
        <f>280*300/2+300*120</f>
        <v>78000</v>
      </c>
      <c r="J134" s="55" t="s">
        <v>21</v>
      </c>
      <c r="K134" s="53">
        <v>430</v>
      </c>
      <c r="L134" s="53">
        <v>110</v>
      </c>
      <c r="M134" s="53">
        <v>1629</v>
      </c>
      <c r="N134" s="56">
        <v>0.99816176470588203</v>
      </c>
      <c r="O134" s="53" t="s">
        <v>143</v>
      </c>
    </row>
    <row r="135" spans="1:15" x14ac:dyDescent="0.25">
      <c r="A135" s="8" t="s">
        <v>164</v>
      </c>
      <c r="B135" s="53">
        <v>108</v>
      </c>
      <c r="C135" s="53">
        <v>4</v>
      </c>
      <c r="D135" s="53">
        <f t="shared" si="0"/>
        <v>27</v>
      </c>
      <c r="E135" s="53">
        <v>324</v>
      </c>
      <c r="F135" s="53">
        <v>3</v>
      </c>
      <c r="G135" s="53">
        <v>700</v>
      </c>
      <c r="H135" s="54" t="s">
        <v>152</v>
      </c>
      <c r="I135" s="53">
        <f>680*700/2+700*120</f>
        <v>322000</v>
      </c>
      <c r="J135" s="55" t="s">
        <v>21</v>
      </c>
      <c r="K135" s="53">
        <v>430</v>
      </c>
      <c r="L135" s="53">
        <v>65</v>
      </c>
      <c r="M135" s="53">
        <v>904</v>
      </c>
      <c r="N135" s="56">
        <v>0.54457831325301198</v>
      </c>
      <c r="O135" s="53" t="s">
        <v>143</v>
      </c>
    </row>
    <row r="136" spans="1:15" x14ac:dyDescent="0.25">
      <c r="A136" s="8" t="s">
        <v>165</v>
      </c>
      <c r="B136" s="53">
        <v>108</v>
      </c>
      <c r="C136" s="53">
        <v>4</v>
      </c>
      <c r="D136" s="53">
        <f t="shared" si="0"/>
        <v>27</v>
      </c>
      <c r="E136" s="53">
        <v>324</v>
      </c>
      <c r="F136" s="53">
        <v>3</v>
      </c>
      <c r="G136" s="53">
        <v>700</v>
      </c>
      <c r="H136" s="54" t="s">
        <v>152</v>
      </c>
      <c r="I136" s="53">
        <f>680*700/2+700*120</f>
        <v>322000</v>
      </c>
      <c r="J136" s="55" t="s">
        <v>21</v>
      </c>
      <c r="K136" s="53">
        <v>430</v>
      </c>
      <c r="L136" s="53">
        <v>75</v>
      </c>
      <c r="M136" s="53">
        <v>877</v>
      </c>
      <c r="N136" s="56">
        <v>0.53540903540903495</v>
      </c>
      <c r="O136" s="53" t="s">
        <v>143</v>
      </c>
    </row>
    <row r="137" spans="1:15" x14ac:dyDescent="0.25">
      <c r="A137" s="8" t="s">
        <v>166</v>
      </c>
      <c r="B137" s="53">
        <v>108</v>
      </c>
      <c r="C137" s="53">
        <v>4</v>
      </c>
      <c r="D137" s="53">
        <f t="shared" si="0"/>
        <v>27</v>
      </c>
      <c r="E137" s="53">
        <v>324</v>
      </c>
      <c r="F137" s="53">
        <v>3</v>
      </c>
      <c r="G137" s="53">
        <v>700</v>
      </c>
      <c r="H137" s="54" t="s">
        <v>152</v>
      </c>
      <c r="I137" s="53">
        <f>680*700/2+700*120</f>
        <v>322000</v>
      </c>
      <c r="J137" s="55" t="s">
        <v>21</v>
      </c>
      <c r="K137" s="53">
        <v>430</v>
      </c>
      <c r="L137" s="53">
        <v>88</v>
      </c>
      <c r="M137" s="53">
        <v>864</v>
      </c>
      <c r="N137" s="56">
        <v>0.51397977394408101</v>
      </c>
      <c r="O137" s="53" t="s">
        <v>143</v>
      </c>
    </row>
    <row r="138" spans="1:15" x14ac:dyDescent="0.25">
      <c r="A138" s="8" t="s">
        <v>167</v>
      </c>
      <c r="B138" s="53">
        <v>108</v>
      </c>
      <c r="C138" s="53">
        <v>4</v>
      </c>
      <c r="D138" s="53">
        <f t="shared" si="0"/>
        <v>27</v>
      </c>
      <c r="E138" s="53">
        <v>324</v>
      </c>
      <c r="F138" s="53">
        <v>3</v>
      </c>
      <c r="G138" s="53">
        <v>700</v>
      </c>
      <c r="H138" s="54" t="s">
        <v>152</v>
      </c>
      <c r="I138" s="53">
        <f>680*700/2+700*120</f>
        <v>322000</v>
      </c>
      <c r="J138" s="55" t="s">
        <v>21</v>
      </c>
      <c r="K138" s="53">
        <v>430</v>
      </c>
      <c r="L138" s="53">
        <v>110</v>
      </c>
      <c r="M138" s="53">
        <v>821</v>
      </c>
      <c r="N138" s="56">
        <v>0.50399017802332702</v>
      </c>
      <c r="O138" s="53" t="s">
        <v>143</v>
      </c>
    </row>
    <row r="139" spans="1:15" x14ac:dyDescent="0.25">
      <c r="A139" s="8" t="s">
        <v>168</v>
      </c>
      <c r="B139" s="30">
        <v>219</v>
      </c>
      <c r="C139" s="30">
        <v>6</v>
      </c>
      <c r="D139" s="30">
        <f t="array" ref="D139:D162">B139:B162/C139:C162</f>
        <v>36.5</v>
      </c>
      <c r="E139" s="30">
        <v>1000</v>
      </c>
      <c r="F139" s="30">
        <v>4.5662100456621006</v>
      </c>
      <c r="G139" s="30">
        <v>20</v>
      </c>
      <c r="H139" s="29">
        <v>0</v>
      </c>
      <c r="I139" s="30">
        <v>0</v>
      </c>
      <c r="J139" s="31" t="s">
        <v>16</v>
      </c>
      <c r="K139" s="30">
        <v>440</v>
      </c>
      <c r="L139" s="30">
        <v>85</v>
      </c>
      <c r="M139" s="30">
        <v>4396</v>
      </c>
      <c r="N139" s="100">
        <v>1</v>
      </c>
      <c r="O139" s="32" t="s">
        <v>169</v>
      </c>
    </row>
    <row r="140" spans="1:15" x14ac:dyDescent="0.25">
      <c r="A140" s="8" t="s">
        <v>170</v>
      </c>
      <c r="B140" s="30">
        <v>219</v>
      </c>
      <c r="C140" s="30">
        <v>6</v>
      </c>
      <c r="D140" s="30">
        <v>36.5</v>
      </c>
      <c r="E140" s="30">
        <v>1000</v>
      </c>
      <c r="F140" s="30">
        <v>4.5662100456621006</v>
      </c>
      <c r="G140" s="30">
        <v>20</v>
      </c>
      <c r="H140" s="29">
        <v>0</v>
      </c>
      <c r="I140" s="30">
        <v>0</v>
      </c>
      <c r="J140" s="31" t="s">
        <v>16</v>
      </c>
      <c r="K140" s="30">
        <v>440</v>
      </c>
      <c r="L140" s="30">
        <v>111</v>
      </c>
      <c r="M140" s="30">
        <v>4905</v>
      </c>
      <c r="N140" s="100">
        <v>1</v>
      </c>
      <c r="O140" s="32" t="s">
        <v>169</v>
      </c>
    </row>
    <row r="141" spans="1:15" x14ac:dyDescent="0.25">
      <c r="A141" s="8" t="s">
        <v>171</v>
      </c>
      <c r="B141" s="30">
        <v>219</v>
      </c>
      <c r="C141" s="30">
        <v>6</v>
      </c>
      <c r="D141" s="30">
        <v>36.5</v>
      </c>
      <c r="E141" s="30">
        <v>1000</v>
      </c>
      <c r="F141" s="30">
        <v>4.5662100456621006</v>
      </c>
      <c r="G141" s="30">
        <v>20</v>
      </c>
      <c r="H141" s="29">
        <v>0</v>
      </c>
      <c r="I141" s="30">
        <v>0</v>
      </c>
      <c r="J141" s="31" t="s">
        <v>16</v>
      </c>
      <c r="K141" s="30">
        <v>440</v>
      </c>
      <c r="L141" s="30">
        <v>125</v>
      </c>
      <c r="M141" s="30">
        <v>5353</v>
      </c>
      <c r="N141" s="100">
        <v>1</v>
      </c>
      <c r="O141" s="32" t="s">
        <v>169</v>
      </c>
    </row>
    <row r="142" spans="1:15" x14ac:dyDescent="0.25">
      <c r="A142" s="8" t="s">
        <v>172</v>
      </c>
      <c r="B142" s="30">
        <v>219</v>
      </c>
      <c r="C142" s="30">
        <v>6</v>
      </c>
      <c r="D142" s="30">
        <v>36.5</v>
      </c>
      <c r="E142" s="30">
        <v>1000</v>
      </c>
      <c r="F142" s="30">
        <v>4.5662100456621006</v>
      </c>
      <c r="G142" s="30">
        <v>20</v>
      </c>
      <c r="H142" s="29">
        <v>0</v>
      </c>
      <c r="I142" s="30">
        <v>0</v>
      </c>
      <c r="J142" s="31" t="s">
        <v>16</v>
      </c>
      <c r="K142" s="30">
        <v>440</v>
      </c>
      <c r="L142" s="30">
        <v>131</v>
      </c>
      <c r="M142" s="30">
        <v>5532</v>
      </c>
      <c r="N142" s="100">
        <v>1</v>
      </c>
      <c r="O142" s="32" t="s">
        <v>169</v>
      </c>
    </row>
    <row r="143" spans="1:15" ht="28.8" customHeight="1" x14ac:dyDescent="0.25">
      <c r="A143" s="8" t="s">
        <v>173</v>
      </c>
      <c r="B143" s="32">
        <v>219</v>
      </c>
      <c r="C143" s="32">
        <v>6</v>
      </c>
      <c r="D143" s="32">
        <v>36.5</v>
      </c>
      <c r="E143" s="32">
        <v>1000</v>
      </c>
      <c r="F143" s="32">
        <v>4.5662100456621006</v>
      </c>
      <c r="G143" s="32">
        <v>1110</v>
      </c>
      <c r="H143" s="48">
        <v>180</v>
      </c>
      <c r="I143" s="32">
        <v>173000</v>
      </c>
      <c r="J143" s="35" t="s">
        <v>21</v>
      </c>
      <c r="K143" s="32">
        <v>440</v>
      </c>
      <c r="L143" s="32">
        <v>85</v>
      </c>
      <c r="M143" s="32">
        <v>3146</v>
      </c>
      <c r="N143" s="49">
        <v>0.71565059144677001</v>
      </c>
      <c r="O143" s="32" t="s">
        <v>169</v>
      </c>
    </row>
    <row r="144" spans="1:15" ht="28.8" customHeight="1" x14ac:dyDescent="0.25">
      <c r="A144" s="8" t="s">
        <v>174</v>
      </c>
      <c r="B144" s="32">
        <v>219</v>
      </c>
      <c r="C144" s="32">
        <v>6</v>
      </c>
      <c r="D144" s="32">
        <v>36.5</v>
      </c>
      <c r="E144" s="32">
        <v>1000</v>
      </c>
      <c r="F144" s="32">
        <v>4.5662100456621006</v>
      </c>
      <c r="G144" s="32">
        <v>1110</v>
      </c>
      <c r="H144" s="48">
        <v>180</v>
      </c>
      <c r="I144" s="32">
        <v>173000</v>
      </c>
      <c r="J144" s="35" t="s">
        <v>21</v>
      </c>
      <c r="K144" s="32">
        <v>440</v>
      </c>
      <c r="L144" s="32">
        <v>111</v>
      </c>
      <c r="M144" s="32">
        <v>3225</v>
      </c>
      <c r="N144" s="49">
        <v>0.65749235474006096</v>
      </c>
      <c r="O144" s="32" t="s">
        <v>169</v>
      </c>
    </row>
    <row r="145" spans="1:15" ht="28.8" customHeight="1" x14ac:dyDescent="0.25">
      <c r="A145" s="8" t="s">
        <v>175</v>
      </c>
      <c r="B145" s="32">
        <v>219</v>
      </c>
      <c r="C145" s="32">
        <v>6</v>
      </c>
      <c r="D145" s="32">
        <v>36.5</v>
      </c>
      <c r="E145" s="32">
        <v>1000</v>
      </c>
      <c r="F145" s="32">
        <v>4.5662100456621006</v>
      </c>
      <c r="G145" s="32">
        <v>1110</v>
      </c>
      <c r="H145" s="48">
        <v>180</v>
      </c>
      <c r="I145" s="32">
        <v>173000</v>
      </c>
      <c r="J145" s="35" t="s">
        <v>21</v>
      </c>
      <c r="K145" s="32">
        <v>440</v>
      </c>
      <c r="L145" s="32">
        <v>125</v>
      </c>
      <c r="M145" s="32">
        <v>3680</v>
      </c>
      <c r="N145" s="49">
        <v>0.68746497291238595</v>
      </c>
      <c r="O145" s="32" t="s">
        <v>169</v>
      </c>
    </row>
    <row r="146" spans="1:15" ht="28.8" customHeight="1" x14ac:dyDescent="0.25">
      <c r="A146" s="8" t="s">
        <v>176</v>
      </c>
      <c r="B146" s="32">
        <v>219</v>
      </c>
      <c r="C146" s="32">
        <v>6</v>
      </c>
      <c r="D146" s="32">
        <v>36.5</v>
      </c>
      <c r="E146" s="32">
        <v>1000</v>
      </c>
      <c r="F146" s="32">
        <v>4.5662100456621006</v>
      </c>
      <c r="G146" s="32">
        <v>1110</v>
      </c>
      <c r="H146" s="48">
        <v>180</v>
      </c>
      <c r="I146" s="32">
        <v>173000</v>
      </c>
      <c r="J146" s="35" t="s">
        <v>21</v>
      </c>
      <c r="K146" s="32">
        <v>440</v>
      </c>
      <c r="L146" s="32">
        <v>131</v>
      </c>
      <c r="M146" s="32">
        <v>3754</v>
      </c>
      <c r="N146" s="49">
        <v>0.67859725234996404</v>
      </c>
      <c r="O146" s="32" t="s">
        <v>169</v>
      </c>
    </row>
    <row r="147" spans="1:15" ht="28.8" customHeight="1" x14ac:dyDescent="0.25">
      <c r="A147" s="8" t="s">
        <v>177</v>
      </c>
      <c r="B147" s="32">
        <v>219</v>
      </c>
      <c r="C147" s="32">
        <v>6</v>
      </c>
      <c r="D147" s="32">
        <v>36.5</v>
      </c>
      <c r="E147" s="32">
        <v>1000</v>
      </c>
      <c r="F147" s="32">
        <v>4.5662100456621006</v>
      </c>
      <c r="G147" s="32">
        <v>1050</v>
      </c>
      <c r="H147" s="48">
        <v>180</v>
      </c>
      <c r="I147" s="32">
        <v>100000</v>
      </c>
      <c r="J147" s="35" t="s">
        <v>21</v>
      </c>
      <c r="K147" s="32">
        <v>440</v>
      </c>
      <c r="L147" s="32">
        <v>85</v>
      </c>
      <c r="M147" s="32">
        <v>3583</v>
      </c>
      <c r="N147" s="49">
        <v>1.1389065479974601</v>
      </c>
      <c r="O147" s="32" t="s">
        <v>169</v>
      </c>
    </row>
    <row r="148" spans="1:15" ht="28.8" customHeight="1" x14ac:dyDescent="0.25">
      <c r="A148" s="8" t="s">
        <v>178</v>
      </c>
      <c r="B148" s="32">
        <v>219</v>
      </c>
      <c r="C148" s="32">
        <v>6</v>
      </c>
      <c r="D148" s="32">
        <v>36.5</v>
      </c>
      <c r="E148" s="32">
        <v>1000</v>
      </c>
      <c r="F148" s="32">
        <v>4.5662100456621006</v>
      </c>
      <c r="G148" s="32">
        <v>1050</v>
      </c>
      <c r="H148" s="48">
        <v>180</v>
      </c>
      <c r="I148" s="32">
        <v>100000</v>
      </c>
      <c r="J148" s="35" t="s">
        <v>21</v>
      </c>
      <c r="K148" s="32">
        <v>440</v>
      </c>
      <c r="L148" s="32">
        <v>111</v>
      </c>
      <c r="M148" s="32">
        <v>4410</v>
      </c>
      <c r="N148" s="49">
        <v>1.36744186046512</v>
      </c>
      <c r="O148" s="32" t="s">
        <v>169</v>
      </c>
    </row>
    <row r="149" spans="1:15" ht="28.8" customHeight="1" x14ac:dyDescent="0.25">
      <c r="A149" s="8" t="s">
        <v>179</v>
      </c>
      <c r="B149" s="32">
        <v>219</v>
      </c>
      <c r="C149" s="32">
        <v>6</v>
      </c>
      <c r="D149" s="32">
        <v>36.5</v>
      </c>
      <c r="E149" s="32">
        <v>1000</v>
      </c>
      <c r="F149" s="32">
        <v>4.5662100456621006</v>
      </c>
      <c r="G149" s="32">
        <v>1050</v>
      </c>
      <c r="H149" s="48">
        <v>180</v>
      </c>
      <c r="I149" s="32">
        <v>100000</v>
      </c>
      <c r="J149" s="35" t="s">
        <v>21</v>
      </c>
      <c r="K149" s="32">
        <v>440</v>
      </c>
      <c r="L149" s="32">
        <v>125</v>
      </c>
      <c r="M149" s="32">
        <v>4662</v>
      </c>
      <c r="N149" s="49">
        <v>1.26684782608696</v>
      </c>
      <c r="O149" s="32" t="s">
        <v>169</v>
      </c>
    </row>
    <row r="150" spans="1:15" ht="28.8" customHeight="1" x14ac:dyDescent="0.25">
      <c r="A150" s="8" t="s">
        <v>180</v>
      </c>
      <c r="B150" s="32">
        <v>219</v>
      </c>
      <c r="C150" s="32">
        <v>6</v>
      </c>
      <c r="D150" s="32">
        <v>36.5</v>
      </c>
      <c r="E150" s="32">
        <v>1000</v>
      </c>
      <c r="F150" s="32">
        <v>4.5662100456621006</v>
      </c>
      <c r="G150" s="32">
        <v>1050</v>
      </c>
      <c r="H150" s="48">
        <v>180</v>
      </c>
      <c r="I150" s="32">
        <v>100000</v>
      </c>
      <c r="J150" s="35" t="s">
        <v>21</v>
      </c>
      <c r="K150" s="32">
        <v>440</v>
      </c>
      <c r="L150" s="32">
        <v>131</v>
      </c>
      <c r="M150" s="32">
        <v>5069</v>
      </c>
      <c r="N150" s="49">
        <v>1.3502930207778401</v>
      </c>
      <c r="O150" s="32" t="s">
        <v>169</v>
      </c>
    </row>
    <row r="151" spans="1:15" x14ac:dyDescent="0.25">
      <c r="A151" s="8" t="s">
        <v>181</v>
      </c>
      <c r="B151" s="30">
        <v>377</v>
      </c>
      <c r="C151" s="30">
        <v>10</v>
      </c>
      <c r="D151" s="30">
        <v>37.700000000000003</v>
      </c>
      <c r="E151" s="30">
        <v>1200</v>
      </c>
      <c r="F151" s="30">
        <v>3.183023872679045</v>
      </c>
      <c r="G151" s="30">
        <v>20</v>
      </c>
      <c r="H151" s="29">
        <v>0</v>
      </c>
      <c r="I151" s="30">
        <v>0</v>
      </c>
      <c r="J151" s="31" t="s">
        <v>16</v>
      </c>
      <c r="K151" s="30">
        <v>440</v>
      </c>
      <c r="L151" s="30">
        <v>85</v>
      </c>
      <c r="M151" s="30">
        <v>12011</v>
      </c>
      <c r="N151" s="100">
        <v>1</v>
      </c>
      <c r="O151" s="32" t="s">
        <v>169</v>
      </c>
    </row>
    <row r="152" spans="1:15" x14ac:dyDescent="0.25">
      <c r="A152" s="8" t="s">
        <v>182</v>
      </c>
      <c r="B152" s="30">
        <v>377</v>
      </c>
      <c r="C152" s="30">
        <v>10</v>
      </c>
      <c r="D152" s="30">
        <v>37.700000000000003</v>
      </c>
      <c r="E152" s="30">
        <v>1200</v>
      </c>
      <c r="F152" s="30">
        <v>3.183023872679045</v>
      </c>
      <c r="G152" s="30">
        <v>20</v>
      </c>
      <c r="H152" s="29">
        <v>0</v>
      </c>
      <c r="I152" s="30">
        <v>0</v>
      </c>
      <c r="J152" s="31" t="s">
        <v>16</v>
      </c>
      <c r="K152" s="30">
        <v>440</v>
      </c>
      <c r="L152" s="30">
        <v>111</v>
      </c>
      <c r="M152" s="30">
        <v>13587</v>
      </c>
      <c r="N152" s="100">
        <v>1</v>
      </c>
      <c r="O152" s="32" t="s">
        <v>169</v>
      </c>
    </row>
    <row r="153" spans="1:15" x14ac:dyDescent="0.25">
      <c r="A153" s="8" t="s">
        <v>183</v>
      </c>
      <c r="B153" s="30">
        <v>377</v>
      </c>
      <c r="C153" s="30">
        <v>10</v>
      </c>
      <c r="D153" s="30">
        <v>37.700000000000003</v>
      </c>
      <c r="E153" s="30">
        <v>1200</v>
      </c>
      <c r="F153" s="30">
        <v>3.183023872679045</v>
      </c>
      <c r="G153" s="30">
        <v>20</v>
      </c>
      <c r="H153" s="29">
        <v>0</v>
      </c>
      <c r="I153" s="30">
        <v>0</v>
      </c>
      <c r="J153" s="31" t="s">
        <v>16</v>
      </c>
      <c r="K153" s="30">
        <v>440</v>
      </c>
      <c r="L153" s="30">
        <v>125</v>
      </c>
      <c r="M153" s="30">
        <v>15526</v>
      </c>
      <c r="N153" s="100">
        <v>1</v>
      </c>
      <c r="O153" s="32" t="s">
        <v>169</v>
      </c>
    </row>
    <row r="154" spans="1:15" x14ac:dyDescent="0.25">
      <c r="A154" s="8" t="s">
        <v>184</v>
      </c>
      <c r="B154" s="30">
        <v>377</v>
      </c>
      <c r="C154" s="30">
        <v>10</v>
      </c>
      <c r="D154" s="30">
        <v>37.700000000000003</v>
      </c>
      <c r="E154" s="30">
        <v>1200</v>
      </c>
      <c r="F154" s="30">
        <v>3.183023872679045</v>
      </c>
      <c r="G154" s="30">
        <v>20</v>
      </c>
      <c r="H154" s="29">
        <v>0</v>
      </c>
      <c r="I154" s="30">
        <v>0</v>
      </c>
      <c r="J154" s="31" t="s">
        <v>16</v>
      </c>
      <c r="K154" s="30">
        <v>440</v>
      </c>
      <c r="L154" s="30">
        <v>131</v>
      </c>
      <c r="M154" s="30">
        <v>16455</v>
      </c>
      <c r="N154" s="100">
        <v>1</v>
      </c>
      <c r="O154" s="32" t="s">
        <v>169</v>
      </c>
    </row>
    <row r="155" spans="1:15" ht="28.8" customHeight="1" x14ac:dyDescent="0.25">
      <c r="A155" s="8" t="s">
        <v>185</v>
      </c>
      <c r="B155" s="32">
        <v>377</v>
      </c>
      <c r="C155" s="32">
        <v>10</v>
      </c>
      <c r="D155" s="32">
        <v>37.700000000000003</v>
      </c>
      <c r="E155" s="32">
        <v>1200</v>
      </c>
      <c r="F155" s="32">
        <v>3.183023872679045</v>
      </c>
      <c r="G155" s="32">
        <v>1110</v>
      </c>
      <c r="H155" s="48">
        <v>180</v>
      </c>
      <c r="I155" s="32">
        <v>173000</v>
      </c>
      <c r="J155" s="35" t="s">
        <v>21</v>
      </c>
      <c r="K155" s="32">
        <v>440</v>
      </c>
      <c r="L155" s="32">
        <v>85</v>
      </c>
      <c r="M155" s="32">
        <v>7726</v>
      </c>
      <c r="N155" s="49">
        <v>0.64324369328115905</v>
      </c>
      <c r="O155" s="32" t="s">
        <v>169</v>
      </c>
    </row>
    <row r="156" spans="1:15" ht="28.8" customHeight="1" x14ac:dyDescent="0.25">
      <c r="A156" s="8" t="s">
        <v>186</v>
      </c>
      <c r="B156" s="32">
        <v>377</v>
      </c>
      <c r="C156" s="32">
        <v>10</v>
      </c>
      <c r="D156" s="32">
        <v>37.700000000000003</v>
      </c>
      <c r="E156" s="32">
        <v>1200</v>
      </c>
      <c r="F156" s="32">
        <v>3.183023872679045</v>
      </c>
      <c r="G156" s="32">
        <v>1110</v>
      </c>
      <c r="H156" s="48">
        <v>180</v>
      </c>
      <c r="I156" s="32">
        <v>173000</v>
      </c>
      <c r="J156" s="35" t="s">
        <v>21</v>
      </c>
      <c r="K156" s="32">
        <v>440</v>
      </c>
      <c r="L156" s="32">
        <v>111</v>
      </c>
      <c r="M156" s="32">
        <v>11289</v>
      </c>
      <c r="N156" s="49">
        <v>0.83086774122322804</v>
      </c>
      <c r="O156" s="32" t="s">
        <v>169</v>
      </c>
    </row>
    <row r="157" spans="1:15" ht="28.8" customHeight="1" x14ac:dyDescent="0.25">
      <c r="A157" s="8" t="s">
        <v>187</v>
      </c>
      <c r="B157" s="32">
        <v>377</v>
      </c>
      <c r="C157" s="32">
        <v>10</v>
      </c>
      <c r="D157" s="32">
        <v>37.700000000000003</v>
      </c>
      <c r="E157" s="32">
        <v>1200</v>
      </c>
      <c r="F157" s="32">
        <v>3.183023872679045</v>
      </c>
      <c r="G157" s="32">
        <v>1110</v>
      </c>
      <c r="H157" s="48">
        <v>180</v>
      </c>
      <c r="I157" s="32">
        <v>173000</v>
      </c>
      <c r="J157" s="35" t="s">
        <v>21</v>
      </c>
      <c r="K157" s="32">
        <v>440</v>
      </c>
      <c r="L157" s="32">
        <v>125</v>
      </c>
      <c r="M157" s="32">
        <v>13765</v>
      </c>
      <c r="N157" s="49">
        <v>0.88657735411567695</v>
      </c>
      <c r="O157" s="32" t="s">
        <v>169</v>
      </c>
    </row>
    <row r="158" spans="1:15" ht="28.8" customHeight="1" x14ac:dyDescent="0.25">
      <c r="A158" s="8" t="s">
        <v>188</v>
      </c>
      <c r="B158" s="32">
        <v>377</v>
      </c>
      <c r="C158" s="32">
        <v>10</v>
      </c>
      <c r="D158" s="32">
        <v>37.700000000000003</v>
      </c>
      <c r="E158" s="32">
        <v>1200</v>
      </c>
      <c r="F158" s="32">
        <v>3.183023872679045</v>
      </c>
      <c r="G158" s="32">
        <v>1110</v>
      </c>
      <c r="H158" s="48">
        <v>180</v>
      </c>
      <c r="I158" s="32">
        <v>173000</v>
      </c>
      <c r="J158" s="35" t="s">
        <v>21</v>
      </c>
      <c r="K158" s="32">
        <v>440</v>
      </c>
      <c r="L158" s="32">
        <v>131</v>
      </c>
      <c r="M158" s="32">
        <v>14876</v>
      </c>
      <c r="N158" s="49">
        <v>0.90404132482528099</v>
      </c>
      <c r="O158" s="32" t="s">
        <v>169</v>
      </c>
    </row>
    <row r="159" spans="1:15" ht="28.8" customHeight="1" x14ac:dyDescent="0.25">
      <c r="A159" s="8" t="s">
        <v>189</v>
      </c>
      <c r="B159" s="32">
        <v>377</v>
      </c>
      <c r="C159" s="32">
        <v>10</v>
      </c>
      <c r="D159" s="32">
        <v>37.700000000000003</v>
      </c>
      <c r="E159" s="32">
        <v>1200</v>
      </c>
      <c r="F159" s="32">
        <v>3.183023872679045</v>
      </c>
      <c r="G159" s="32">
        <v>1050</v>
      </c>
      <c r="H159" s="48">
        <v>180</v>
      </c>
      <c r="I159" s="32">
        <v>100000</v>
      </c>
      <c r="J159" s="35" t="s">
        <v>21</v>
      </c>
      <c r="K159" s="32">
        <v>440</v>
      </c>
      <c r="L159" s="32">
        <v>85</v>
      </c>
      <c r="M159" s="32">
        <v>9417</v>
      </c>
      <c r="N159" s="49">
        <v>1.2188713435153999</v>
      </c>
      <c r="O159" s="32" t="s">
        <v>169</v>
      </c>
    </row>
    <row r="160" spans="1:15" ht="28.8" customHeight="1" x14ac:dyDescent="0.25">
      <c r="A160" s="8" t="s">
        <v>190</v>
      </c>
      <c r="B160" s="32">
        <v>377</v>
      </c>
      <c r="C160" s="32">
        <v>10</v>
      </c>
      <c r="D160" s="32">
        <v>37.700000000000003</v>
      </c>
      <c r="E160" s="32">
        <v>1200</v>
      </c>
      <c r="F160" s="32">
        <v>3.183023872679045</v>
      </c>
      <c r="G160" s="32">
        <v>1050</v>
      </c>
      <c r="H160" s="48">
        <v>180</v>
      </c>
      <c r="I160" s="32">
        <v>100000</v>
      </c>
      <c r="J160" s="35" t="s">
        <v>21</v>
      </c>
      <c r="K160" s="32">
        <v>440</v>
      </c>
      <c r="L160" s="32">
        <v>111</v>
      </c>
      <c r="M160" s="32">
        <v>13368</v>
      </c>
      <c r="N160" s="49">
        <v>1.1841615732128601</v>
      </c>
      <c r="O160" s="32" t="s">
        <v>169</v>
      </c>
    </row>
    <row r="161" spans="1:16" ht="28.8" customHeight="1" x14ac:dyDescent="0.25">
      <c r="A161" s="8" t="s">
        <v>191</v>
      </c>
      <c r="B161" s="32">
        <v>377</v>
      </c>
      <c r="C161" s="32">
        <v>10</v>
      </c>
      <c r="D161" s="32">
        <v>37.700000000000003</v>
      </c>
      <c r="E161" s="32">
        <v>1200</v>
      </c>
      <c r="F161" s="32">
        <v>3.183023872679045</v>
      </c>
      <c r="G161" s="32">
        <v>1050</v>
      </c>
      <c r="H161" s="48">
        <v>180</v>
      </c>
      <c r="I161" s="32">
        <v>100000</v>
      </c>
      <c r="J161" s="35" t="s">
        <v>21</v>
      </c>
      <c r="K161" s="32">
        <v>440</v>
      </c>
      <c r="L161" s="32">
        <v>125</v>
      </c>
      <c r="M161" s="32">
        <v>15976</v>
      </c>
      <c r="N161" s="49">
        <v>1.1606247729749399</v>
      </c>
      <c r="O161" s="32" t="s">
        <v>169</v>
      </c>
    </row>
    <row r="162" spans="1:16" ht="28.8" customHeight="1" x14ac:dyDescent="0.25">
      <c r="A162" s="8" t="s">
        <v>192</v>
      </c>
      <c r="B162" s="32">
        <v>377</v>
      </c>
      <c r="C162" s="32">
        <v>10</v>
      </c>
      <c r="D162" s="32">
        <v>37.700000000000003</v>
      </c>
      <c r="E162" s="32">
        <v>1200</v>
      </c>
      <c r="F162" s="32">
        <v>3.183023872679045</v>
      </c>
      <c r="G162" s="32">
        <v>1050</v>
      </c>
      <c r="H162" s="48">
        <v>180</v>
      </c>
      <c r="I162" s="32">
        <v>100000</v>
      </c>
      <c r="J162" s="35" t="s">
        <v>21</v>
      </c>
      <c r="K162" s="32">
        <v>440</v>
      </c>
      <c r="L162" s="32">
        <v>131</v>
      </c>
      <c r="M162" s="32">
        <v>16865</v>
      </c>
      <c r="N162" s="49">
        <v>1.13370529712288</v>
      </c>
      <c r="O162" s="32" t="s">
        <v>169</v>
      </c>
    </row>
    <row r="163" spans="1:16" x14ac:dyDescent="0.25">
      <c r="A163" s="8" t="s">
        <v>193</v>
      </c>
      <c r="B163" s="57">
        <v>108</v>
      </c>
      <c r="C163" s="57">
        <v>4</v>
      </c>
      <c r="D163" s="57">
        <f t="shared" ref="D163:D171" si="1">B163/C163</f>
        <v>27</v>
      </c>
      <c r="E163" s="57">
        <v>324</v>
      </c>
      <c r="F163" s="57">
        <v>3</v>
      </c>
      <c r="G163" s="57">
        <v>20</v>
      </c>
      <c r="H163" s="58">
        <v>0</v>
      </c>
      <c r="I163" s="57">
        <v>0</v>
      </c>
      <c r="J163" s="59" t="s">
        <v>16</v>
      </c>
      <c r="K163" s="57">
        <v>392</v>
      </c>
      <c r="L163" s="57">
        <v>115</v>
      </c>
      <c r="M163" s="57">
        <v>1432</v>
      </c>
      <c r="N163" s="102">
        <v>1</v>
      </c>
      <c r="O163" s="60" t="s">
        <v>194</v>
      </c>
      <c r="P163" s="92"/>
    </row>
    <row r="164" spans="1:16" x14ac:dyDescent="0.25">
      <c r="A164" s="8" t="s">
        <v>195</v>
      </c>
      <c r="B164" s="57">
        <v>108</v>
      </c>
      <c r="C164" s="57">
        <v>4</v>
      </c>
      <c r="D164" s="57">
        <f t="shared" si="1"/>
        <v>27</v>
      </c>
      <c r="E164" s="57">
        <v>324</v>
      </c>
      <c r="F164" s="57">
        <v>3</v>
      </c>
      <c r="G164" s="57">
        <v>20</v>
      </c>
      <c r="H164" s="58">
        <v>0</v>
      </c>
      <c r="I164" s="57">
        <v>0</v>
      </c>
      <c r="J164" s="59" t="s">
        <v>16</v>
      </c>
      <c r="K164" s="57">
        <v>392</v>
      </c>
      <c r="L164" s="57">
        <v>131</v>
      </c>
      <c r="M164" s="57">
        <v>1490</v>
      </c>
      <c r="N164" s="102">
        <v>1</v>
      </c>
      <c r="O164" s="60" t="s">
        <v>194</v>
      </c>
      <c r="P164" s="92"/>
    </row>
    <row r="165" spans="1:16" x14ac:dyDescent="0.25">
      <c r="A165" s="8" t="s">
        <v>196</v>
      </c>
      <c r="B165" s="57">
        <v>108</v>
      </c>
      <c r="C165" s="57">
        <v>4</v>
      </c>
      <c r="D165" s="57">
        <f t="shared" si="1"/>
        <v>27</v>
      </c>
      <c r="E165" s="57">
        <v>324</v>
      </c>
      <c r="F165" s="57">
        <v>3</v>
      </c>
      <c r="G165" s="57">
        <v>20</v>
      </c>
      <c r="H165" s="58">
        <v>0</v>
      </c>
      <c r="I165" s="57">
        <v>0</v>
      </c>
      <c r="J165" s="59" t="s">
        <v>16</v>
      </c>
      <c r="K165" s="57">
        <v>392</v>
      </c>
      <c r="L165" s="57">
        <v>140</v>
      </c>
      <c r="M165" s="57">
        <v>1572</v>
      </c>
      <c r="N165" s="102">
        <v>1</v>
      </c>
      <c r="O165" s="60" t="s">
        <v>194</v>
      </c>
      <c r="P165" s="92"/>
    </row>
    <row r="166" spans="1:16" x14ac:dyDescent="0.25">
      <c r="A166" s="8" t="s">
        <v>197</v>
      </c>
      <c r="B166" s="60">
        <v>108</v>
      </c>
      <c r="C166" s="60">
        <v>4</v>
      </c>
      <c r="D166" s="60">
        <f t="shared" si="1"/>
        <v>27</v>
      </c>
      <c r="E166" s="60">
        <v>324</v>
      </c>
      <c r="F166" s="60">
        <v>3</v>
      </c>
      <c r="G166" s="60">
        <v>307</v>
      </c>
      <c r="H166" s="61">
        <v>80</v>
      </c>
      <c r="I166" s="60">
        <v>23100</v>
      </c>
      <c r="J166" s="62" t="s">
        <v>21</v>
      </c>
      <c r="K166" s="60">
        <v>392</v>
      </c>
      <c r="L166" s="60">
        <v>115</v>
      </c>
      <c r="M166" s="60">
        <v>1617</v>
      </c>
      <c r="N166" s="63">
        <v>1.12918994413408</v>
      </c>
      <c r="O166" s="60" t="s">
        <v>194</v>
      </c>
      <c r="P166" s="92"/>
    </row>
    <row r="167" spans="1:16" x14ac:dyDescent="0.25">
      <c r="A167" s="8" t="s">
        <v>198</v>
      </c>
      <c r="B167" s="60">
        <v>108</v>
      </c>
      <c r="C167" s="60">
        <v>4</v>
      </c>
      <c r="D167" s="60">
        <f t="shared" si="1"/>
        <v>27</v>
      </c>
      <c r="E167" s="60">
        <v>324</v>
      </c>
      <c r="F167" s="60">
        <v>3</v>
      </c>
      <c r="G167" s="60">
        <v>307</v>
      </c>
      <c r="H167" s="61">
        <v>80</v>
      </c>
      <c r="I167" s="60">
        <v>23100</v>
      </c>
      <c r="J167" s="62" t="s">
        <v>21</v>
      </c>
      <c r="K167" s="60">
        <v>392</v>
      </c>
      <c r="L167" s="60">
        <v>131</v>
      </c>
      <c r="M167" s="60">
        <v>1982</v>
      </c>
      <c r="N167" s="63">
        <v>1.3302013422818799</v>
      </c>
      <c r="O167" s="60" t="s">
        <v>194</v>
      </c>
      <c r="P167" s="92"/>
    </row>
    <row r="168" spans="1:16" x14ac:dyDescent="0.25">
      <c r="A168" s="8" t="s">
        <v>199</v>
      </c>
      <c r="B168" s="60">
        <v>108</v>
      </c>
      <c r="C168" s="60">
        <v>4</v>
      </c>
      <c r="D168" s="60">
        <f t="shared" si="1"/>
        <v>27</v>
      </c>
      <c r="E168" s="60">
        <v>324</v>
      </c>
      <c r="F168" s="60">
        <v>3</v>
      </c>
      <c r="G168" s="60">
        <v>307</v>
      </c>
      <c r="H168" s="61">
        <v>80</v>
      </c>
      <c r="I168" s="60">
        <v>23100</v>
      </c>
      <c r="J168" s="62" t="s">
        <v>21</v>
      </c>
      <c r="K168" s="60">
        <v>392</v>
      </c>
      <c r="L168" s="60">
        <v>140</v>
      </c>
      <c r="M168" s="60">
        <v>2053</v>
      </c>
      <c r="N168" s="63">
        <v>1.3059796437658999</v>
      </c>
      <c r="O168" s="60" t="s">
        <v>194</v>
      </c>
      <c r="P168" s="92"/>
    </row>
    <row r="169" spans="1:16" x14ac:dyDescent="0.25">
      <c r="A169" s="8" t="s">
        <v>200</v>
      </c>
      <c r="B169" s="60">
        <v>108</v>
      </c>
      <c r="C169" s="60">
        <v>4</v>
      </c>
      <c r="D169" s="60">
        <f t="shared" si="1"/>
        <v>27</v>
      </c>
      <c r="E169" s="60">
        <v>324</v>
      </c>
      <c r="F169" s="60">
        <v>3</v>
      </c>
      <c r="G169" s="60">
        <v>680</v>
      </c>
      <c r="H169" s="61">
        <v>85</v>
      </c>
      <c r="I169" s="60">
        <v>52700</v>
      </c>
      <c r="J169" s="62" t="s">
        <v>21</v>
      </c>
      <c r="K169" s="60">
        <v>392</v>
      </c>
      <c r="L169" s="60">
        <v>115</v>
      </c>
      <c r="M169" s="60">
        <v>1320</v>
      </c>
      <c r="N169" s="63">
        <v>0.92178770949720701</v>
      </c>
      <c r="O169" s="60" t="s">
        <v>194</v>
      </c>
      <c r="P169" s="92"/>
    </row>
    <row r="170" spans="1:16" x14ac:dyDescent="0.25">
      <c r="A170" s="8" t="s">
        <v>201</v>
      </c>
      <c r="B170" s="60">
        <v>108</v>
      </c>
      <c r="C170" s="60">
        <v>4</v>
      </c>
      <c r="D170" s="60">
        <f t="shared" si="1"/>
        <v>27</v>
      </c>
      <c r="E170" s="60">
        <v>324</v>
      </c>
      <c r="F170" s="60">
        <v>3</v>
      </c>
      <c r="G170" s="60">
        <v>680</v>
      </c>
      <c r="H170" s="61">
        <v>85</v>
      </c>
      <c r="I170" s="60">
        <v>52700</v>
      </c>
      <c r="J170" s="62" t="s">
        <v>21</v>
      </c>
      <c r="K170" s="60">
        <v>392</v>
      </c>
      <c r="L170" s="60">
        <v>131</v>
      </c>
      <c r="M170" s="60">
        <v>1352</v>
      </c>
      <c r="N170" s="63">
        <v>0.90738255033557003</v>
      </c>
      <c r="O170" s="60" t="s">
        <v>194</v>
      </c>
      <c r="P170" s="92"/>
    </row>
    <row r="171" spans="1:16" x14ac:dyDescent="0.25">
      <c r="A171" s="8" t="s">
        <v>202</v>
      </c>
      <c r="B171" s="60">
        <v>108</v>
      </c>
      <c r="C171" s="60">
        <v>4</v>
      </c>
      <c r="D171" s="60">
        <f t="shared" si="1"/>
        <v>27</v>
      </c>
      <c r="E171" s="60">
        <v>324</v>
      </c>
      <c r="F171" s="60">
        <v>3</v>
      </c>
      <c r="G171" s="60">
        <v>680</v>
      </c>
      <c r="H171" s="61">
        <v>85</v>
      </c>
      <c r="I171" s="60">
        <v>52700</v>
      </c>
      <c r="J171" s="62" t="s">
        <v>21</v>
      </c>
      <c r="K171" s="60">
        <v>392</v>
      </c>
      <c r="L171" s="60">
        <v>140</v>
      </c>
      <c r="M171" s="60">
        <v>1547</v>
      </c>
      <c r="N171" s="63">
        <v>0.98409669211195905</v>
      </c>
      <c r="O171" s="60" t="s">
        <v>194</v>
      </c>
      <c r="P171" s="92"/>
    </row>
    <row r="172" spans="1:16" x14ac:dyDescent="0.25">
      <c r="A172" s="8" t="s">
        <v>203</v>
      </c>
      <c r="B172" s="39">
        <v>100</v>
      </c>
      <c r="C172" s="39">
        <v>4</v>
      </c>
      <c r="D172" s="39">
        <f t="array" ref="D172:D177">B172:B177/C172:C177</f>
        <v>25</v>
      </c>
      <c r="E172" s="39">
        <v>600</v>
      </c>
      <c r="F172" s="39">
        <v>6</v>
      </c>
      <c r="G172" s="39">
        <v>20</v>
      </c>
      <c r="H172" s="38">
        <v>0</v>
      </c>
      <c r="I172" s="39">
        <v>0</v>
      </c>
      <c r="J172" s="40" t="s">
        <v>16</v>
      </c>
      <c r="K172" s="39">
        <v>288</v>
      </c>
      <c r="L172" s="39">
        <v>36.700000000000003</v>
      </c>
      <c r="M172" s="39">
        <v>834</v>
      </c>
      <c r="N172" s="103">
        <v>1</v>
      </c>
      <c r="O172" s="41" t="s">
        <v>204</v>
      </c>
      <c r="P172" s="92"/>
    </row>
    <row r="173" spans="1:16" x14ac:dyDescent="0.25">
      <c r="A173" s="8" t="s">
        <v>205</v>
      </c>
      <c r="B173" s="39">
        <v>100</v>
      </c>
      <c r="C173" s="39">
        <v>5</v>
      </c>
      <c r="D173" s="39">
        <v>20</v>
      </c>
      <c r="E173" s="39">
        <v>600</v>
      </c>
      <c r="F173" s="39">
        <v>6</v>
      </c>
      <c r="G173" s="39">
        <v>20</v>
      </c>
      <c r="H173" s="38">
        <v>0</v>
      </c>
      <c r="I173" s="39">
        <v>0</v>
      </c>
      <c r="J173" s="40" t="s">
        <v>16</v>
      </c>
      <c r="K173" s="39">
        <v>288</v>
      </c>
      <c r="L173" s="39">
        <v>36.700000000000003</v>
      </c>
      <c r="M173" s="39">
        <v>836</v>
      </c>
      <c r="N173" s="103">
        <v>1</v>
      </c>
      <c r="O173" s="41" t="s">
        <v>204</v>
      </c>
      <c r="P173" s="92"/>
    </row>
    <row r="174" spans="1:16" x14ac:dyDescent="0.25">
      <c r="A174" s="8" t="s">
        <v>206</v>
      </c>
      <c r="B174" s="39">
        <v>125</v>
      </c>
      <c r="C174" s="39">
        <v>4</v>
      </c>
      <c r="D174" s="39">
        <v>31.25</v>
      </c>
      <c r="E174" s="39">
        <v>600</v>
      </c>
      <c r="F174" s="39">
        <v>4.8</v>
      </c>
      <c r="G174" s="39">
        <v>20</v>
      </c>
      <c r="H174" s="38">
        <v>0</v>
      </c>
      <c r="I174" s="39">
        <v>0</v>
      </c>
      <c r="J174" s="40" t="s">
        <v>16</v>
      </c>
      <c r="K174" s="39">
        <v>380</v>
      </c>
      <c r="L174" s="39">
        <v>36.700000000000003</v>
      </c>
      <c r="M174" s="39">
        <v>1252</v>
      </c>
      <c r="N174" s="103">
        <v>1</v>
      </c>
      <c r="O174" s="41" t="s">
        <v>204</v>
      </c>
      <c r="P174" s="92"/>
    </row>
    <row r="175" spans="1:16" x14ac:dyDescent="0.25">
      <c r="A175" s="8" t="s">
        <v>207</v>
      </c>
      <c r="B175" s="39">
        <v>125</v>
      </c>
      <c r="C175" s="39">
        <v>5</v>
      </c>
      <c r="D175" s="39">
        <v>25</v>
      </c>
      <c r="E175" s="39">
        <v>600</v>
      </c>
      <c r="F175" s="39">
        <v>4.8</v>
      </c>
      <c r="G175" s="39">
        <v>20</v>
      </c>
      <c r="H175" s="38">
        <v>0</v>
      </c>
      <c r="I175" s="39">
        <v>0</v>
      </c>
      <c r="J175" s="40" t="s">
        <v>16</v>
      </c>
      <c r="K175" s="39">
        <v>380</v>
      </c>
      <c r="L175" s="39">
        <v>36.700000000000003</v>
      </c>
      <c r="M175" s="39">
        <v>1263</v>
      </c>
      <c r="N175" s="103">
        <v>1</v>
      </c>
      <c r="O175" s="41" t="s">
        <v>204</v>
      </c>
      <c r="P175" s="92"/>
    </row>
    <row r="176" spans="1:16" x14ac:dyDescent="0.25">
      <c r="A176" s="8" t="s">
        <v>208</v>
      </c>
      <c r="B176" s="39">
        <v>150</v>
      </c>
      <c r="C176" s="39">
        <v>4</v>
      </c>
      <c r="D176" s="39">
        <v>37.5</v>
      </c>
      <c r="E176" s="39">
        <v>600</v>
      </c>
      <c r="F176" s="39">
        <v>4</v>
      </c>
      <c r="G176" s="39">
        <v>20</v>
      </c>
      <c r="H176" s="38">
        <v>0</v>
      </c>
      <c r="I176" s="39">
        <v>0</v>
      </c>
      <c r="J176" s="40" t="s">
        <v>16</v>
      </c>
      <c r="K176" s="39">
        <v>440</v>
      </c>
      <c r="L176" s="39">
        <v>36.700000000000003</v>
      </c>
      <c r="M176" s="39">
        <v>1749</v>
      </c>
      <c r="N176" s="103">
        <v>1</v>
      </c>
      <c r="O176" s="41" t="s">
        <v>204</v>
      </c>
      <c r="P176" s="92"/>
    </row>
    <row r="177" spans="1:16" x14ac:dyDescent="0.25">
      <c r="A177" s="8" t="s">
        <v>209</v>
      </c>
      <c r="B177" s="39">
        <v>150</v>
      </c>
      <c r="C177" s="39">
        <v>5</v>
      </c>
      <c r="D177" s="39">
        <v>30</v>
      </c>
      <c r="E177" s="39">
        <v>600</v>
      </c>
      <c r="F177" s="39">
        <v>4</v>
      </c>
      <c r="G177" s="39">
        <v>20</v>
      </c>
      <c r="H177" s="38">
        <v>0</v>
      </c>
      <c r="I177" s="39">
        <v>0</v>
      </c>
      <c r="J177" s="40" t="s">
        <v>16</v>
      </c>
      <c r="K177" s="39">
        <v>440</v>
      </c>
      <c r="L177" s="39">
        <v>36.700000000000003</v>
      </c>
      <c r="M177" s="39">
        <v>1768</v>
      </c>
      <c r="N177" s="103">
        <v>1</v>
      </c>
      <c r="O177" s="41" t="s">
        <v>204</v>
      </c>
      <c r="P177" s="92"/>
    </row>
    <row r="178" spans="1:16" ht="28.8" customHeight="1" x14ac:dyDescent="0.25">
      <c r="A178" s="8" t="s">
        <v>210</v>
      </c>
      <c r="B178" s="41">
        <v>100</v>
      </c>
      <c r="C178" s="41">
        <v>4</v>
      </c>
      <c r="D178" s="41">
        <f t="array" ref="D178:D183">B178:B183/C178:C183</f>
        <v>25</v>
      </c>
      <c r="E178" s="41">
        <v>600</v>
      </c>
      <c r="F178" s="41">
        <v>6</v>
      </c>
      <c r="G178" s="41">
        <v>600</v>
      </c>
      <c r="H178" s="64">
        <v>120</v>
      </c>
      <c r="I178" s="41">
        <v>34000</v>
      </c>
      <c r="J178" s="44" t="s">
        <v>21</v>
      </c>
      <c r="K178" s="41">
        <v>288</v>
      </c>
      <c r="L178" s="41">
        <v>36.700000000000003</v>
      </c>
      <c r="M178" s="41">
        <v>791</v>
      </c>
      <c r="N178" s="65">
        <v>0.94844124700239796</v>
      </c>
      <c r="O178" s="41" t="s">
        <v>204</v>
      </c>
      <c r="P178" s="92"/>
    </row>
    <row r="179" spans="1:16" ht="28.8" customHeight="1" x14ac:dyDescent="0.25">
      <c r="A179" s="8" t="s">
        <v>211</v>
      </c>
      <c r="B179" s="41">
        <v>100</v>
      </c>
      <c r="C179" s="41">
        <v>5</v>
      </c>
      <c r="D179" s="41">
        <v>20</v>
      </c>
      <c r="E179" s="41">
        <v>600</v>
      </c>
      <c r="F179" s="41">
        <v>6</v>
      </c>
      <c r="G179" s="41">
        <v>600</v>
      </c>
      <c r="H179" s="64">
        <v>120</v>
      </c>
      <c r="I179" s="41">
        <v>34000</v>
      </c>
      <c r="J179" s="44" t="s">
        <v>21</v>
      </c>
      <c r="K179" s="41">
        <v>288</v>
      </c>
      <c r="L179" s="41">
        <v>36.700000000000003</v>
      </c>
      <c r="M179" s="41">
        <v>795</v>
      </c>
      <c r="N179" s="65">
        <v>0.950956937799043</v>
      </c>
      <c r="O179" s="41" t="s">
        <v>204</v>
      </c>
      <c r="P179" s="92"/>
    </row>
    <row r="180" spans="1:16" ht="28.8" customHeight="1" x14ac:dyDescent="0.25">
      <c r="A180" s="8" t="s">
        <v>212</v>
      </c>
      <c r="B180" s="41">
        <v>125</v>
      </c>
      <c r="C180" s="41">
        <v>4</v>
      </c>
      <c r="D180" s="41">
        <v>31.25</v>
      </c>
      <c r="E180" s="41">
        <v>600</v>
      </c>
      <c r="F180" s="41">
        <v>4.8</v>
      </c>
      <c r="G180" s="41">
        <v>600</v>
      </c>
      <c r="H180" s="64">
        <v>120</v>
      </c>
      <c r="I180" s="41">
        <v>34000</v>
      </c>
      <c r="J180" s="44" t="s">
        <v>21</v>
      </c>
      <c r="K180" s="41">
        <v>380</v>
      </c>
      <c r="L180" s="41">
        <v>36.700000000000003</v>
      </c>
      <c r="M180" s="41">
        <v>1208</v>
      </c>
      <c r="N180" s="65">
        <v>0.96485623003194898</v>
      </c>
      <c r="O180" s="41" t="s">
        <v>204</v>
      </c>
      <c r="P180" s="92"/>
    </row>
    <row r="181" spans="1:16" ht="28.8" customHeight="1" x14ac:dyDescent="0.25">
      <c r="A181" s="8" t="s">
        <v>213</v>
      </c>
      <c r="B181" s="41">
        <v>125</v>
      </c>
      <c r="C181" s="41">
        <v>5</v>
      </c>
      <c r="D181" s="41">
        <v>25</v>
      </c>
      <c r="E181" s="41">
        <v>600</v>
      </c>
      <c r="F181" s="41">
        <v>4.8</v>
      </c>
      <c r="G181" s="41">
        <v>600</v>
      </c>
      <c r="H181" s="64">
        <v>120</v>
      </c>
      <c r="I181" s="41">
        <v>34000</v>
      </c>
      <c r="J181" s="44" t="s">
        <v>21</v>
      </c>
      <c r="K181" s="41">
        <v>380</v>
      </c>
      <c r="L181" s="41">
        <v>36.700000000000003</v>
      </c>
      <c r="M181" s="41">
        <v>1213</v>
      </c>
      <c r="N181" s="65">
        <v>0.960411718131433</v>
      </c>
      <c r="O181" s="41" t="s">
        <v>204</v>
      </c>
      <c r="P181" s="92"/>
    </row>
    <row r="182" spans="1:16" ht="28.8" customHeight="1" x14ac:dyDescent="0.25">
      <c r="A182" s="8" t="s">
        <v>214</v>
      </c>
      <c r="B182" s="41">
        <v>150</v>
      </c>
      <c r="C182" s="41">
        <v>4</v>
      </c>
      <c r="D182" s="41">
        <v>37.5</v>
      </c>
      <c r="E182" s="41">
        <v>600</v>
      </c>
      <c r="F182" s="41">
        <v>4</v>
      </c>
      <c r="G182" s="41">
        <v>600</v>
      </c>
      <c r="H182" s="64">
        <v>120</v>
      </c>
      <c r="I182" s="41">
        <v>34000</v>
      </c>
      <c r="J182" s="44" t="s">
        <v>21</v>
      </c>
      <c r="K182" s="41">
        <v>440</v>
      </c>
      <c r="L182" s="41">
        <v>36.700000000000003</v>
      </c>
      <c r="M182" s="41">
        <v>1698</v>
      </c>
      <c r="N182" s="65">
        <v>0.97084048027444303</v>
      </c>
      <c r="O182" s="41" t="s">
        <v>204</v>
      </c>
      <c r="P182" s="92"/>
    </row>
    <row r="183" spans="1:16" ht="28.8" customHeight="1" x14ac:dyDescent="0.25">
      <c r="A183" s="8" t="s">
        <v>215</v>
      </c>
      <c r="B183" s="41">
        <v>150</v>
      </c>
      <c r="C183" s="41">
        <v>5</v>
      </c>
      <c r="D183" s="41">
        <v>30</v>
      </c>
      <c r="E183" s="41">
        <v>600</v>
      </c>
      <c r="F183" s="41">
        <v>4</v>
      </c>
      <c r="G183" s="41">
        <v>600</v>
      </c>
      <c r="H183" s="64">
        <v>120</v>
      </c>
      <c r="I183" s="41">
        <v>34000</v>
      </c>
      <c r="J183" s="44" t="s">
        <v>21</v>
      </c>
      <c r="K183" s="41">
        <v>440</v>
      </c>
      <c r="L183" s="41">
        <v>36.700000000000003</v>
      </c>
      <c r="M183" s="41">
        <v>1705</v>
      </c>
      <c r="N183" s="65">
        <v>0.96436651583710398</v>
      </c>
      <c r="O183" s="41" t="s">
        <v>204</v>
      </c>
      <c r="P183" s="92"/>
    </row>
    <row r="184" spans="1:16" ht="28.8" customHeight="1" x14ac:dyDescent="0.25">
      <c r="A184" s="8" t="s">
        <v>216</v>
      </c>
      <c r="B184" s="41">
        <v>100</v>
      </c>
      <c r="C184" s="41">
        <v>4</v>
      </c>
      <c r="D184" s="41">
        <f t="array" ref="D184:D189">B184:B189/C184:C189</f>
        <v>25</v>
      </c>
      <c r="E184" s="41">
        <v>600</v>
      </c>
      <c r="F184" s="41">
        <v>6</v>
      </c>
      <c r="G184" s="41">
        <v>800</v>
      </c>
      <c r="H184" s="64">
        <v>220</v>
      </c>
      <c r="I184" s="41">
        <v>108000</v>
      </c>
      <c r="J184" s="44" t="s">
        <v>21</v>
      </c>
      <c r="K184" s="41">
        <v>288</v>
      </c>
      <c r="L184" s="41">
        <v>36.700000000000003</v>
      </c>
      <c r="M184" s="41">
        <v>716</v>
      </c>
      <c r="N184" s="65">
        <v>0.85851318944844102</v>
      </c>
      <c r="O184" s="41" t="s">
        <v>204</v>
      </c>
      <c r="P184" s="92"/>
    </row>
    <row r="185" spans="1:16" ht="28.8" customHeight="1" x14ac:dyDescent="0.25">
      <c r="A185" s="8" t="s">
        <v>217</v>
      </c>
      <c r="B185" s="41">
        <v>100</v>
      </c>
      <c r="C185" s="41">
        <v>5</v>
      </c>
      <c r="D185" s="41">
        <v>20</v>
      </c>
      <c r="E185" s="41">
        <v>600</v>
      </c>
      <c r="F185" s="41">
        <v>6</v>
      </c>
      <c r="G185" s="41">
        <v>800</v>
      </c>
      <c r="H185" s="64">
        <v>220</v>
      </c>
      <c r="I185" s="41">
        <v>108000</v>
      </c>
      <c r="J185" s="44" t="s">
        <v>21</v>
      </c>
      <c r="K185" s="41">
        <v>288</v>
      </c>
      <c r="L185" s="41">
        <v>36.700000000000003</v>
      </c>
      <c r="M185" s="41">
        <v>722</v>
      </c>
      <c r="N185" s="65">
        <v>0.86363636363636398</v>
      </c>
      <c r="O185" s="41" t="s">
        <v>204</v>
      </c>
      <c r="P185" s="92"/>
    </row>
    <row r="186" spans="1:16" ht="28.8" customHeight="1" x14ac:dyDescent="0.25">
      <c r="A186" s="8" t="s">
        <v>218</v>
      </c>
      <c r="B186" s="41">
        <v>125</v>
      </c>
      <c r="C186" s="41">
        <v>4</v>
      </c>
      <c r="D186" s="41">
        <v>31.25</v>
      </c>
      <c r="E186" s="41">
        <v>600</v>
      </c>
      <c r="F186" s="41">
        <v>4.8</v>
      </c>
      <c r="G186" s="41">
        <v>800</v>
      </c>
      <c r="H186" s="64">
        <v>220</v>
      </c>
      <c r="I186" s="41">
        <v>108000</v>
      </c>
      <c r="J186" s="44" t="s">
        <v>21</v>
      </c>
      <c r="K186" s="41">
        <v>380</v>
      </c>
      <c r="L186" s="41">
        <v>36.700000000000003</v>
      </c>
      <c r="M186" s="41">
        <v>1175</v>
      </c>
      <c r="N186" s="65">
        <v>0.93849840255591099</v>
      </c>
      <c r="O186" s="41" t="s">
        <v>204</v>
      </c>
      <c r="P186" s="92"/>
    </row>
    <row r="187" spans="1:16" ht="28.8" customHeight="1" x14ac:dyDescent="0.25">
      <c r="A187" s="8" t="s">
        <v>219</v>
      </c>
      <c r="B187" s="41">
        <v>125</v>
      </c>
      <c r="C187" s="41">
        <v>5</v>
      </c>
      <c r="D187" s="41">
        <v>25</v>
      </c>
      <c r="E187" s="41">
        <v>600</v>
      </c>
      <c r="F187" s="41">
        <v>4.8</v>
      </c>
      <c r="G187" s="41">
        <v>800</v>
      </c>
      <c r="H187" s="64">
        <v>220</v>
      </c>
      <c r="I187" s="41">
        <v>108000</v>
      </c>
      <c r="J187" s="44" t="s">
        <v>21</v>
      </c>
      <c r="K187" s="41">
        <v>380</v>
      </c>
      <c r="L187" s="41">
        <v>36.700000000000003</v>
      </c>
      <c r="M187" s="41">
        <v>1179</v>
      </c>
      <c r="N187" s="65">
        <v>0.93349168646080805</v>
      </c>
      <c r="O187" s="41" t="s">
        <v>204</v>
      </c>
      <c r="P187" s="92"/>
    </row>
    <row r="188" spans="1:16" ht="28.8" customHeight="1" x14ac:dyDescent="0.25">
      <c r="A188" s="8" t="s">
        <v>220</v>
      </c>
      <c r="B188" s="41">
        <v>150</v>
      </c>
      <c r="C188" s="41">
        <v>4</v>
      </c>
      <c r="D188" s="41">
        <v>37.5</v>
      </c>
      <c r="E188" s="41">
        <v>600</v>
      </c>
      <c r="F188" s="41">
        <v>4</v>
      </c>
      <c r="G188" s="41">
        <v>800</v>
      </c>
      <c r="H188" s="64">
        <v>220</v>
      </c>
      <c r="I188" s="41">
        <v>108000</v>
      </c>
      <c r="J188" s="44" t="s">
        <v>21</v>
      </c>
      <c r="K188" s="41">
        <v>440</v>
      </c>
      <c r="L188" s="41">
        <v>36.700000000000003</v>
      </c>
      <c r="M188" s="41">
        <v>1629</v>
      </c>
      <c r="N188" s="65">
        <v>0.93138936535162997</v>
      </c>
      <c r="O188" s="41" t="s">
        <v>204</v>
      </c>
      <c r="P188" s="92"/>
    </row>
    <row r="189" spans="1:16" ht="28.8" customHeight="1" x14ac:dyDescent="0.25">
      <c r="A189" s="8" t="s">
        <v>221</v>
      </c>
      <c r="B189" s="41">
        <v>150</v>
      </c>
      <c r="C189" s="41">
        <v>5</v>
      </c>
      <c r="D189" s="41">
        <v>30</v>
      </c>
      <c r="E189" s="41">
        <v>600</v>
      </c>
      <c r="F189" s="41">
        <v>4</v>
      </c>
      <c r="G189" s="41">
        <v>800</v>
      </c>
      <c r="H189" s="64">
        <v>220</v>
      </c>
      <c r="I189" s="41">
        <v>108000</v>
      </c>
      <c r="J189" s="44" t="s">
        <v>21</v>
      </c>
      <c r="K189" s="41">
        <v>440</v>
      </c>
      <c r="L189" s="41">
        <v>36.700000000000003</v>
      </c>
      <c r="M189" s="41">
        <v>1637</v>
      </c>
      <c r="N189" s="65">
        <v>0.92590497737556599</v>
      </c>
      <c r="O189" s="41" t="s">
        <v>204</v>
      </c>
      <c r="P189" s="92"/>
    </row>
    <row r="190" spans="1:16" x14ac:dyDescent="0.25">
      <c r="A190" s="8" t="s">
        <v>222</v>
      </c>
      <c r="B190" s="41">
        <v>100</v>
      </c>
      <c r="C190" s="41">
        <v>4</v>
      </c>
      <c r="D190" s="41">
        <f t="array" ref="D190:D195">B190:B195/C190:C195</f>
        <v>25</v>
      </c>
      <c r="E190" s="41">
        <v>600</v>
      </c>
      <c r="F190" s="41">
        <v>6</v>
      </c>
      <c r="G190" s="41">
        <v>600</v>
      </c>
      <c r="H190" s="64">
        <v>120</v>
      </c>
      <c r="I190" s="41">
        <v>34000</v>
      </c>
      <c r="J190" s="44" t="s">
        <v>68</v>
      </c>
      <c r="K190" s="41">
        <v>288</v>
      </c>
      <c r="L190" s="41">
        <v>36.700000000000003</v>
      </c>
      <c r="M190" s="41">
        <v>749</v>
      </c>
      <c r="N190" s="65">
        <v>0.898081534772182</v>
      </c>
      <c r="O190" s="41" t="s">
        <v>204</v>
      </c>
      <c r="P190" s="92"/>
    </row>
    <row r="191" spans="1:16" x14ac:dyDescent="0.25">
      <c r="A191" s="8" t="s">
        <v>223</v>
      </c>
      <c r="B191" s="41">
        <v>100</v>
      </c>
      <c r="C191" s="41">
        <v>5</v>
      </c>
      <c r="D191" s="41">
        <v>20</v>
      </c>
      <c r="E191" s="41">
        <v>600</v>
      </c>
      <c r="F191" s="41">
        <v>6</v>
      </c>
      <c r="G191" s="41">
        <v>600</v>
      </c>
      <c r="H191" s="64">
        <v>120</v>
      </c>
      <c r="I191" s="41">
        <v>34000</v>
      </c>
      <c r="J191" s="44" t="s">
        <v>68</v>
      </c>
      <c r="K191" s="41">
        <v>288</v>
      </c>
      <c r="L191" s="41">
        <v>36.700000000000003</v>
      </c>
      <c r="M191" s="41">
        <v>764</v>
      </c>
      <c r="N191" s="65">
        <v>0.91387559808612395</v>
      </c>
      <c r="O191" s="41" t="s">
        <v>204</v>
      </c>
      <c r="P191" s="92"/>
    </row>
    <row r="192" spans="1:16" x14ac:dyDescent="0.25">
      <c r="A192" s="8" t="s">
        <v>224</v>
      </c>
      <c r="B192" s="41">
        <v>125</v>
      </c>
      <c r="C192" s="41">
        <v>4</v>
      </c>
      <c r="D192" s="41">
        <v>31.25</v>
      </c>
      <c r="E192" s="41">
        <v>600</v>
      </c>
      <c r="F192" s="41">
        <v>4.8</v>
      </c>
      <c r="G192" s="41">
        <v>600</v>
      </c>
      <c r="H192" s="64">
        <v>120</v>
      </c>
      <c r="I192" s="41">
        <v>34000</v>
      </c>
      <c r="J192" s="44" t="s">
        <v>68</v>
      </c>
      <c r="K192" s="41">
        <v>380</v>
      </c>
      <c r="L192" s="41">
        <v>36.700000000000003</v>
      </c>
      <c r="M192" s="41">
        <v>1170</v>
      </c>
      <c r="N192" s="65">
        <v>0.93450479233226802</v>
      </c>
      <c r="O192" s="41" t="s">
        <v>204</v>
      </c>
      <c r="P192" s="92"/>
    </row>
    <row r="193" spans="1:220" x14ac:dyDescent="0.25">
      <c r="A193" s="8" t="s">
        <v>225</v>
      </c>
      <c r="B193" s="41">
        <v>125</v>
      </c>
      <c r="C193" s="41">
        <v>5</v>
      </c>
      <c r="D193" s="41">
        <v>25</v>
      </c>
      <c r="E193" s="41">
        <v>600</v>
      </c>
      <c r="F193" s="41">
        <v>4.8</v>
      </c>
      <c r="G193" s="41">
        <v>600</v>
      </c>
      <c r="H193" s="64">
        <v>120</v>
      </c>
      <c r="I193" s="41">
        <v>34000</v>
      </c>
      <c r="J193" s="44" t="s">
        <v>68</v>
      </c>
      <c r="K193" s="41">
        <v>380</v>
      </c>
      <c r="L193" s="41">
        <v>36.700000000000003</v>
      </c>
      <c r="M193" s="41">
        <v>1182</v>
      </c>
      <c r="N193" s="65">
        <v>0.93586698337292196</v>
      </c>
      <c r="O193" s="41" t="s">
        <v>204</v>
      </c>
      <c r="P193" s="92"/>
    </row>
    <row r="194" spans="1:220" x14ac:dyDescent="0.25">
      <c r="A194" s="8" t="s">
        <v>226</v>
      </c>
      <c r="B194" s="41">
        <v>150</v>
      </c>
      <c r="C194" s="41">
        <v>4</v>
      </c>
      <c r="D194" s="41">
        <v>37.5</v>
      </c>
      <c r="E194" s="41">
        <v>600</v>
      </c>
      <c r="F194" s="41">
        <v>4</v>
      </c>
      <c r="G194" s="41">
        <v>600</v>
      </c>
      <c r="H194" s="64">
        <v>120</v>
      </c>
      <c r="I194" s="41">
        <v>34000</v>
      </c>
      <c r="J194" s="44" t="s">
        <v>68</v>
      </c>
      <c r="K194" s="41">
        <v>440</v>
      </c>
      <c r="L194" s="41">
        <v>36.700000000000003</v>
      </c>
      <c r="M194" s="41">
        <v>1662</v>
      </c>
      <c r="N194" s="65">
        <v>0.95025728987993097</v>
      </c>
      <c r="O194" s="41" t="s">
        <v>204</v>
      </c>
      <c r="P194" s="92"/>
    </row>
    <row r="195" spans="1:220" x14ac:dyDescent="0.25">
      <c r="A195" s="8" t="s">
        <v>227</v>
      </c>
      <c r="B195" s="41">
        <v>150</v>
      </c>
      <c r="C195" s="41">
        <v>5</v>
      </c>
      <c r="D195" s="41">
        <v>30</v>
      </c>
      <c r="E195" s="41">
        <v>600</v>
      </c>
      <c r="F195" s="41">
        <v>4</v>
      </c>
      <c r="G195" s="41">
        <v>600</v>
      </c>
      <c r="H195" s="64">
        <v>120</v>
      </c>
      <c r="I195" s="41">
        <v>34000</v>
      </c>
      <c r="J195" s="44" t="s">
        <v>68</v>
      </c>
      <c r="K195" s="41">
        <v>440</v>
      </c>
      <c r="L195" s="41">
        <v>36.700000000000003</v>
      </c>
      <c r="M195" s="41">
        <v>1667</v>
      </c>
      <c r="N195" s="65">
        <v>0.94287330316742102</v>
      </c>
      <c r="O195" s="41" t="s">
        <v>204</v>
      </c>
      <c r="P195" s="92"/>
    </row>
    <row r="196" spans="1:220" x14ac:dyDescent="0.25">
      <c r="A196" s="8" t="s">
        <v>228</v>
      </c>
      <c r="B196" s="41">
        <v>100</v>
      </c>
      <c r="C196" s="41">
        <v>4</v>
      </c>
      <c r="D196" s="41">
        <f t="array" ref="D196:D201">B196:B201/C196:C201</f>
        <v>25</v>
      </c>
      <c r="E196" s="41">
        <v>600</v>
      </c>
      <c r="F196" s="41">
        <v>6</v>
      </c>
      <c r="G196" s="41">
        <v>800</v>
      </c>
      <c r="H196" s="64">
        <v>220</v>
      </c>
      <c r="I196" s="41">
        <v>108000</v>
      </c>
      <c r="J196" s="44" t="s">
        <v>68</v>
      </c>
      <c r="K196" s="41">
        <v>288</v>
      </c>
      <c r="L196" s="41">
        <v>36.700000000000003</v>
      </c>
      <c r="M196" s="41">
        <v>688</v>
      </c>
      <c r="N196" s="65">
        <v>0.82494004796163101</v>
      </c>
      <c r="O196" s="41" t="s">
        <v>204</v>
      </c>
      <c r="P196" s="92"/>
    </row>
    <row r="197" spans="1:220" x14ac:dyDescent="0.25">
      <c r="A197" s="8" t="s">
        <v>229</v>
      </c>
      <c r="B197" s="41">
        <v>100</v>
      </c>
      <c r="C197" s="41">
        <v>5</v>
      </c>
      <c r="D197" s="41">
        <v>20</v>
      </c>
      <c r="E197" s="41">
        <v>600</v>
      </c>
      <c r="F197" s="41">
        <v>6</v>
      </c>
      <c r="G197" s="41">
        <v>800</v>
      </c>
      <c r="H197" s="64">
        <v>220</v>
      </c>
      <c r="I197" s="41">
        <v>108000</v>
      </c>
      <c r="J197" s="44" t="s">
        <v>68</v>
      </c>
      <c r="K197" s="41">
        <v>288</v>
      </c>
      <c r="L197" s="41">
        <v>36.700000000000003</v>
      </c>
      <c r="M197" s="41">
        <v>691</v>
      </c>
      <c r="N197" s="65">
        <v>0.82655502392344504</v>
      </c>
      <c r="O197" s="41" t="s">
        <v>204</v>
      </c>
      <c r="P197" s="92"/>
    </row>
    <row r="198" spans="1:220" x14ac:dyDescent="0.25">
      <c r="A198" s="8" t="s">
        <v>230</v>
      </c>
      <c r="B198" s="41">
        <v>125</v>
      </c>
      <c r="C198" s="41">
        <v>4</v>
      </c>
      <c r="D198" s="41">
        <v>31.25</v>
      </c>
      <c r="E198" s="41">
        <v>600</v>
      </c>
      <c r="F198" s="41">
        <v>4.8</v>
      </c>
      <c r="G198" s="41">
        <v>800</v>
      </c>
      <c r="H198" s="64">
        <v>220</v>
      </c>
      <c r="I198" s="41">
        <v>108000</v>
      </c>
      <c r="J198" s="44" t="s">
        <v>68</v>
      </c>
      <c r="K198" s="41">
        <v>380</v>
      </c>
      <c r="L198" s="41">
        <v>36.700000000000003</v>
      </c>
      <c r="M198" s="41">
        <v>1148</v>
      </c>
      <c r="N198" s="65">
        <v>0.91693290734824295</v>
      </c>
      <c r="O198" s="41" t="s">
        <v>204</v>
      </c>
      <c r="P198" s="92"/>
    </row>
    <row r="199" spans="1:220" x14ac:dyDescent="0.25">
      <c r="A199" s="8" t="s">
        <v>231</v>
      </c>
      <c r="B199" s="41">
        <v>125</v>
      </c>
      <c r="C199" s="41">
        <v>5</v>
      </c>
      <c r="D199" s="41">
        <v>25</v>
      </c>
      <c r="E199" s="41">
        <v>600</v>
      </c>
      <c r="F199" s="41">
        <v>4.8</v>
      </c>
      <c r="G199" s="41">
        <v>800</v>
      </c>
      <c r="H199" s="64">
        <v>220</v>
      </c>
      <c r="I199" s="41">
        <v>108000</v>
      </c>
      <c r="J199" s="44" t="s">
        <v>68</v>
      </c>
      <c r="K199" s="41">
        <v>380</v>
      </c>
      <c r="L199" s="41">
        <v>36.700000000000003</v>
      </c>
      <c r="M199" s="41">
        <v>1156</v>
      </c>
      <c r="N199" s="65">
        <v>0.91528107680126702</v>
      </c>
      <c r="O199" s="41" t="s">
        <v>204</v>
      </c>
      <c r="P199" s="92"/>
    </row>
    <row r="200" spans="1:220" x14ac:dyDescent="0.25">
      <c r="A200" s="8" t="s">
        <v>232</v>
      </c>
      <c r="B200" s="41">
        <v>150</v>
      </c>
      <c r="C200" s="41">
        <v>4</v>
      </c>
      <c r="D200" s="41">
        <v>37.5</v>
      </c>
      <c r="E200" s="41">
        <v>600</v>
      </c>
      <c r="F200" s="41">
        <v>4</v>
      </c>
      <c r="G200" s="41">
        <v>800</v>
      </c>
      <c r="H200" s="64">
        <v>220</v>
      </c>
      <c r="I200" s="41">
        <v>108000</v>
      </c>
      <c r="J200" s="44" t="s">
        <v>68</v>
      </c>
      <c r="K200" s="41">
        <v>440</v>
      </c>
      <c r="L200" s="41">
        <v>36.700000000000003</v>
      </c>
      <c r="M200" s="41">
        <v>1605</v>
      </c>
      <c r="N200" s="65">
        <v>0.91766723842195497</v>
      </c>
      <c r="O200" s="41" t="s">
        <v>204</v>
      </c>
      <c r="P200" s="92"/>
    </row>
    <row r="201" spans="1:220" x14ac:dyDescent="0.25">
      <c r="A201" s="8" t="s">
        <v>233</v>
      </c>
      <c r="B201" s="41">
        <v>150</v>
      </c>
      <c r="C201" s="41">
        <v>5</v>
      </c>
      <c r="D201" s="41">
        <v>30</v>
      </c>
      <c r="E201" s="41">
        <v>600</v>
      </c>
      <c r="F201" s="41">
        <v>4</v>
      </c>
      <c r="G201" s="41">
        <v>800</v>
      </c>
      <c r="H201" s="64">
        <v>220</v>
      </c>
      <c r="I201" s="41">
        <v>108000</v>
      </c>
      <c r="J201" s="44" t="s">
        <v>68</v>
      </c>
      <c r="K201" s="41">
        <v>440</v>
      </c>
      <c r="L201" s="41">
        <v>36.700000000000003</v>
      </c>
      <c r="M201" s="41">
        <v>1613</v>
      </c>
      <c r="N201" s="65">
        <v>0.91233031674208098</v>
      </c>
      <c r="O201" s="41" t="s">
        <v>204</v>
      </c>
      <c r="P201" s="92"/>
    </row>
    <row r="202" spans="1:220" s="89" customFormat="1" x14ac:dyDescent="0.25">
      <c r="A202" s="85" t="s">
        <v>234</v>
      </c>
      <c r="B202" s="22">
        <v>100</v>
      </c>
      <c r="C202" s="22">
        <v>3</v>
      </c>
      <c r="D202" s="22">
        <f t="array" ref="D202:D231">B202:B231/C202:C231</f>
        <v>33.333333333333336</v>
      </c>
      <c r="E202" s="22">
        <v>600</v>
      </c>
      <c r="F202" s="22">
        <v>6</v>
      </c>
      <c r="G202" s="22">
        <v>20</v>
      </c>
      <c r="H202" s="21">
        <v>0</v>
      </c>
      <c r="I202" s="22">
        <v>0</v>
      </c>
      <c r="J202" s="23" t="s">
        <v>16</v>
      </c>
      <c r="K202" s="22">
        <v>285</v>
      </c>
      <c r="L202" s="22">
        <v>36.700000000000003</v>
      </c>
      <c r="M202" s="22">
        <v>825</v>
      </c>
      <c r="N202" s="104">
        <v>1</v>
      </c>
      <c r="O202" s="7" t="s">
        <v>235</v>
      </c>
      <c r="P202" s="92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88"/>
      <c r="AC202" s="88"/>
      <c r="AD202" s="88"/>
      <c r="AE202" s="88"/>
      <c r="AF202" s="88"/>
      <c r="AG202" s="88"/>
      <c r="AH202" s="88"/>
      <c r="AI202" s="88"/>
      <c r="AJ202" s="88"/>
      <c r="AK202" s="88"/>
      <c r="AL202" s="88"/>
      <c r="AM202" s="88"/>
      <c r="AN202" s="88"/>
      <c r="AO202" s="88"/>
      <c r="AP202" s="88"/>
      <c r="AQ202" s="88"/>
      <c r="AR202" s="88"/>
      <c r="AS202" s="88"/>
      <c r="AT202" s="88"/>
      <c r="AU202" s="88"/>
      <c r="AV202" s="88"/>
      <c r="AW202" s="88"/>
      <c r="AX202" s="88"/>
      <c r="AY202" s="88"/>
      <c r="AZ202" s="88"/>
      <c r="BA202" s="88"/>
      <c r="BB202" s="88"/>
      <c r="BC202" s="88"/>
      <c r="BD202" s="88"/>
      <c r="BE202" s="88"/>
      <c r="BF202" s="88"/>
      <c r="BG202" s="88"/>
      <c r="BH202" s="88"/>
      <c r="BI202" s="88"/>
      <c r="BJ202" s="88"/>
      <c r="BK202" s="88"/>
      <c r="BL202" s="88"/>
      <c r="BM202" s="88"/>
      <c r="BN202" s="88"/>
      <c r="BO202" s="88"/>
      <c r="BP202" s="88"/>
      <c r="BQ202" s="88"/>
      <c r="BR202" s="88"/>
      <c r="BS202" s="88"/>
      <c r="BT202" s="88"/>
      <c r="BU202" s="88"/>
      <c r="BV202" s="88"/>
      <c r="BW202" s="88"/>
      <c r="BX202" s="88"/>
      <c r="BY202" s="88"/>
      <c r="BZ202" s="88"/>
      <c r="CA202" s="88"/>
      <c r="CB202" s="88"/>
      <c r="CC202" s="88"/>
      <c r="CD202" s="88"/>
      <c r="CE202" s="88"/>
      <c r="CF202" s="88"/>
      <c r="CG202" s="88"/>
      <c r="CH202" s="88"/>
      <c r="CI202" s="88"/>
      <c r="CJ202" s="88"/>
      <c r="CK202" s="88"/>
      <c r="CL202" s="88"/>
      <c r="CM202" s="88"/>
      <c r="CN202" s="88"/>
      <c r="CO202" s="88"/>
      <c r="CP202" s="88"/>
      <c r="CQ202" s="88"/>
      <c r="CR202" s="88"/>
      <c r="CS202" s="88"/>
      <c r="CT202" s="88"/>
      <c r="CU202" s="88"/>
      <c r="CV202" s="88"/>
      <c r="CW202" s="88"/>
      <c r="CX202" s="88"/>
      <c r="CY202" s="88"/>
      <c r="CZ202" s="88"/>
      <c r="DA202" s="88"/>
      <c r="DB202" s="88"/>
      <c r="DC202" s="88"/>
      <c r="DD202" s="88"/>
      <c r="DE202" s="88"/>
      <c r="DF202" s="88"/>
      <c r="DG202" s="88"/>
      <c r="DH202" s="88"/>
      <c r="DI202" s="88"/>
      <c r="DJ202" s="88"/>
      <c r="DK202" s="88"/>
      <c r="DL202" s="88"/>
      <c r="DM202" s="88"/>
      <c r="DN202" s="88"/>
      <c r="DO202" s="88"/>
      <c r="DP202" s="88"/>
      <c r="DQ202" s="88"/>
      <c r="DR202" s="88"/>
      <c r="DS202" s="88"/>
      <c r="DT202" s="88"/>
      <c r="DU202" s="88"/>
      <c r="DV202" s="88"/>
      <c r="DW202" s="88"/>
      <c r="DX202" s="88"/>
      <c r="DY202" s="88"/>
      <c r="DZ202" s="88"/>
      <c r="EA202" s="88"/>
      <c r="EB202" s="88"/>
      <c r="EC202" s="88"/>
      <c r="ED202" s="88"/>
      <c r="EE202" s="88"/>
      <c r="EF202" s="88"/>
      <c r="EG202" s="88"/>
      <c r="EH202" s="88"/>
      <c r="EI202" s="88"/>
      <c r="EJ202" s="88"/>
      <c r="EK202" s="88"/>
      <c r="EL202" s="88"/>
      <c r="EM202" s="88"/>
      <c r="EN202" s="88"/>
      <c r="EO202" s="88"/>
      <c r="EP202" s="88"/>
      <c r="EQ202" s="88"/>
      <c r="ER202" s="88"/>
      <c r="ES202" s="88"/>
      <c r="ET202" s="88"/>
      <c r="EU202" s="88"/>
      <c r="EV202" s="88"/>
      <c r="EW202" s="88"/>
      <c r="EX202" s="88"/>
      <c r="EY202" s="88"/>
      <c r="EZ202" s="88"/>
      <c r="FA202" s="88"/>
      <c r="FB202" s="88"/>
      <c r="FC202" s="88"/>
      <c r="FD202" s="88"/>
      <c r="FE202" s="88"/>
      <c r="FF202" s="88"/>
      <c r="FG202" s="88"/>
      <c r="FH202" s="88"/>
      <c r="FI202" s="88"/>
      <c r="FJ202" s="88"/>
      <c r="FK202" s="88"/>
      <c r="FL202" s="88"/>
      <c r="FM202" s="88"/>
      <c r="FN202" s="88"/>
      <c r="FO202" s="88"/>
      <c r="FP202" s="88"/>
      <c r="FQ202" s="88"/>
      <c r="FR202" s="88"/>
      <c r="FS202" s="88"/>
      <c r="FT202" s="88"/>
      <c r="FU202" s="88"/>
      <c r="FV202" s="88"/>
      <c r="FW202" s="88"/>
      <c r="FX202" s="88"/>
      <c r="FY202" s="88"/>
      <c r="FZ202" s="88"/>
      <c r="GA202" s="88"/>
      <c r="GB202" s="88"/>
      <c r="GC202" s="88"/>
      <c r="GD202" s="88"/>
      <c r="GE202" s="88"/>
      <c r="GF202" s="88"/>
      <c r="GG202" s="88"/>
      <c r="GH202" s="88"/>
      <c r="GI202" s="88"/>
      <c r="GJ202" s="88"/>
      <c r="GK202" s="88"/>
      <c r="GL202" s="88"/>
      <c r="GM202" s="88"/>
      <c r="GN202" s="88"/>
      <c r="GO202" s="88"/>
      <c r="GP202" s="88"/>
      <c r="GQ202" s="88"/>
      <c r="GR202" s="88"/>
      <c r="GS202" s="88"/>
      <c r="GT202" s="88"/>
      <c r="GU202" s="88"/>
      <c r="GV202" s="88"/>
      <c r="GW202" s="88"/>
      <c r="GX202" s="88"/>
      <c r="GY202" s="88"/>
      <c r="GZ202" s="88"/>
      <c r="HA202" s="88"/>
      <c r="HB202" s="88"/>
      <c r="HC202" s="88"/>
      <c r="HD202" s="88"/>
      <c r="HE202" s="88"/>
      <c r="HF202" s="88"/>
      <c r="HG202" s="88"/>
      <c r="HH202" s="88"/>
      <c r="HI202" s="88"/>
      <c r="HJ202" s="88"/>
      <c r="HK202" s="88"/>
      <c r="HL202" s="88"/>
    </row>
    <row r="203" spans="1:220" s="89" customFormat="1" x14ac:dyDescent="0.25">
      <c r="A203" s="85" t="s">
        <v>236</v>
      </c>
      <c r="B203" s="22">
        <v>100</v>
      </c>
      <c r="C203" s="22">
        <v>6</v>
      </c>
      <c r="D203" s="22">
        <v>16.666666666666668</v>
      </c>
      <c r="E203" s="22">
        <v>600</v>
      </c>
      <c r="F203" s="22">
        <v>6</v>
      </c>
      <c r="G203" s="22">
        <v>20</v>
      </c>
      <c r="H203" s="21">
        <v>0</v>
      </c>
      <c r="I203" s="22">
        <v>0</v>
      </c>
      <c r="J203" s="23" t="s">
        <v>16</v>
      </c>
      <c r="K203" s="22">
        <v>285</v>
      </c>
      <c r="L203" s="22">
        <v>36.700000000000003</v>
      </c>
      <c r="M203" s="22">
        <v>890</v>
      </c>
      <c r="N203" s="104">
        <v>1</v>
      </c>
      <c r="O203" s="7" t="s">
        <v>235</v>
      </c>
      <c r="P203" s="92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88"/>
      <c r="AC203" s="88"/>
      <c r="AD203" s="88"/>
      <c r="AE203" s="88"/>
      <c r="AF203" s="88"/>
      <c r="AG203" s="88"/>
      <c r="AH203" s="88"/>
      <c r="AI203" s="88"/>
      <c r="AJ203" s="88"/>
      <c r="AK203" s="88"/>
      <c r="AL203" s="88"/>
      <c r="AM203" s="88"/>
      <c r="AN203" s="88"/>
      <c r="AO203" s="88"/>
      <c r="AP203" s="88"/>
      <c r="AQ203" s="88"/>
      <c r="AR203" s="88"/>
      <c r="AS203" s="88"/>
      <c r="AT203" s="88"/>
      <c r="AU203" s="88"/>
      <c r="AV203" s="88"/>
      <c r="AW203" s="88"/>
      <c r="AX203" s="88"/>
      <c r="AY203" s="88"/>
      <c r="AZ203" s="88"/>
      <c r="BA203" s="88"/>
      <c r="BB203" s="88"/>
      <c r="BC203" s="88"/>
      <c r="BD203" s="88"/>
      <c r="BE203" s="88"/>
      <c r="BF203" s="88"/>
      <c r="BG203" s="88"/>
      <c r="BH203" s="88"/>
      <c r="BI203" s="88"/>
      <c r="BJ203" s="88"/>
      <c r="BK203" s="88"/>
      <c r="BL203" s="88"/>
      <c r="BM203" s="88"/>
      <c r="BN203" s="88"/>
      <c r="BO203" s="88"/>
      <c r="BP203" s="88"/>
      <c r="BQ203" s="88"/>
      <c r="BR203" s="88"/>
      <c r="BS203" s="88"/>
      <c r="BT203" s="88"/>
      <c r="BU203" s="88"/>
      <c r="BV203" s="88"/>
      <c r="BW203" s="88"/>
      <c r="BX203" s="88"/>
      <c r="BY203" s="88"/>
      <c r="BZ203" s="88"/>
      <c r="CA203" s="88"/>
      <c r="CB203" s="88"/>
      <c r="CC203" s="88"/>
      <c r="CD203" s="88"/>
      <c r="CE203" s="88"/>
      <c r="CF203" s="88"/>
      <c r="CG203" s="88"/>
      <c r="CH203" s="88"/>
      <c r="CI203" s="88"/>
      <c r="CJ203" s="88"/>
      <c r="CK203" s="88"/>
      <c r="CL203" s="88"/>
      <c r="CM203" s="88"/>
      <c r="CN203" s="88"/>
      <c r="CO203" s="88"/>
      <c r="CP203" s="88"/>
      <c r="CQ203" s="88"/>
      <c r="CR203" s="88"/>
      <c r="CS203" s="88"/>
      <c r="CT203" s="88"/>
      <c r="CU203" s="88"/>
      <c r="CV203" s="88"/>
      <c r="CW203" s="88"/>
      <c r="CX203" s="88"/>
      <c r="CY203" s="88"/>
      <c r="CZ203" s="88"/>
      <c r="DA203" s="88"/>
      <c r="DB203" s="88"/>
      <c r="DC203" s="88"/>
      <c r="DD203" s="88"/>
      <c r="DE203" s="88"/>
      <c r="DF203" s="88"/>
      <c r="DG203" s="88"/>
      <c r="DH203" s="88"/>
      <c r="DI203" s="88"/>
      <c r="DJ203" s="88"/>
      <c r="DK203" s="88"/>
      <c r="DL203" s="88"/>
      <c r="DM203" s="88"/>
      <c r="DN203" s="88"/>
      <c r="DO203" s="88"/>
      <c r="DP203" s="88"/>
      <c r="DQ203" s="88"/>
      <c r="DR203" s="88"/>
      <c r="DS203" s="88"/>
      <c r="DT203" s="88"/>
      <c r="DU203" s="88"/>
      <c r="DV203" s="88"/>
      <c r="DW203" s="88"/>
      <c r="DX203" s="88"/>
      <c r="DY203" s="88"/>
      <c r="DZ203" s="88"/>
      <c r="EA203" s="88"/>
      <c r="EB203" s="88"/>
      <c r="EC203" s="88"/>
      <c r="ED203" s="88"/>
      <c r="EE203" s="88"/>
      <c r="EF203" s="88"/>
      <c r="EG203" s="88"/>
      <c r="EH203" s="88"/>
      <c r="EI203" s="88"/>
      <c r="EJ203" s="88"/>
      <c r="EK203" s="88"/>
      <c r="EL203" s="88"/>
      <c r="EM203" s="88"/>
      <c r="EN203" s="88"/>
      <c r="EO203" s="88"/>
      <c r="EP203" s="88"/>
      <c r="EQ203" s="88"/>
      <c r="ER203" s="88"/>
      <c r="ES203" s="88"/>
      <c r="ET203" s="88"/>
      <c r="EU203" s="88"/>
      <c r="EV203" s="88"/>
      <c r="EW203" s="88"/>
      <c r="EX203" s="88"/>
      <c r="EY203" s="88"/>
      <c r="EZ203" s="88"/>
      <c r="FA203" s="88"/>
      <c r="FB203" s="88"/>
      <c r="FC203" s="88"/>
      <c r="FD203" s="88"/>
      <c r="FE203" s="88"/>
      <c r="FF203" s="88"/>
      <c r="FG203" s="88"/>
      <c r="FH203" s="88"/>
      <c r="FI203" s="88"/>
      <c r="FJ203" s="88"/>
      <c r="FK203" s="88"/>
      <c r="FL203" s="88"/>
      <c r="FM203" s="88"/>
      <c r="FN203" s="88"/>
      <c r="FO203" s="88"/>
      <c r="FP203" s="88"/>
      <c r="FQ203" s="88"/>
      <c r="FR203" s="88"/>
      <c r="FS203" s="88"/>
      <c r="FT203" s="88"/>
      <c r="FU203" s="88"/>
      <c r="FV203" s="88"/>
      <c r="FW203" s="88"/>
      <c r="FX203" s="88"/>
      <c r="FY203" s="88"/>
      <c r="FZ203" s="88"/>
      <c r="GA203" s="88"/>
      <c r="GB203" s="88"/>
      <c r="GC203" s="88"/>
      <c r="GD203" s="88"/>
      <c r="GE203" s="88"/>
      <c r="GF203" s="88"/>
      <c r="GG203" s="88"/>
      <c r="GH203" s="88"/>
      <c r="GI203" s="88"/>
      <c r="GJ203" s="88"/>
      <c r="GK203" s="88"/>
      <c r="GL203" s="88"/>
      <c r="GM203" s="88"/>
      <c r="GN203" s="88"/>
      <c r="GO203" s="88"/>
      <c r="GP203" s="88"/>
      <c r="GQ203" s="88"/>
      <c r="GR203" s="88"/>
      <c r="GS203" s="88"/>
      <c r="GT203" s="88"/>
      <c r="GU203" s="88"/>
      <c r="GV203" s="88"/>
      <c r="GW203" s="88"/>
      <c r="GX203" s="88"/>
      <c r="GY203" s="88"/>
      <c r="GZ203" s="88"/>
      <c r="HA203" s="88"/>
      <c r="HB203" s="88"/>
      <c r="HC203" s="88"/>
      <c r="HD203" s="88"/>
      <c r="HE203" s="88"/>
      <c r="HF203" s="88"/>
      <c r="HG203" s="88"/>
      <c r="HH203" s="88"/>
      <c r="HI203" s="88"/>
      <c r="HJ203" s="88"/>
      <c r="HK203" s="88"/>
      <c r="HL203" s="88"/>
    </row>
    <row r="204" spans="1:220" s="89" customFormat="1" x14ac:dyDescent="0.25">
      <c r="A204" s="85" t="s">
        <v>237</v>
      </c>
      <c r="B204" s="22">
        <v>140</v>
      </c>
      <c r="C204" s="22">
        <v>3</v>
      </c>
      <c r="D204" s="22">
        <v>46.666666666666664</v>
      </c>
      <c r="E204" s="22">
        <v>600</v>
      </c>
      <c r="F204" s="22">
        <v>4.2857142857142856</v>
      </c>
      <c r="G204" s="22">
        <v>20</v>
      </c>
      <c r="H204" s="21">
        <v>0</v>
      </c>
      <c r="I204" s="22">
        <v>0</v>
      </c>
      <c r="J204" s="23" t="s">
        <v>16</v>
      </c>
      <c r="K204" s="22">
        <v>300</v>
      </c>
      <c r="L204" s="22">
        <v>36.700000000000003</v>
      </c>
      <c r="M204" s="22">
        <v>1322</v>
      </c>
      <c r="N204" s="104">
        <v>1</v>
      </c>
      <c r="O204" s="7" t="s">
        <v>235</v>
      </c>
      <c r="P204" s="92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88"/>
      <c r="AC204" s="88"/>
      <c r="AD204" s="88"/>
      <c r="AE204" s="88"/>
      <c r="AF204" s="88"/>
      <c r="AG204" s="88"/>
      <c r="AH204" s="88"/>
      <c r="AI204" s="88"/>
      <c r="AJ204" s="88"/>
      <c r="AK204" s="88"/>
      <c r="AL204" s="88"/>
      <c r="AM204" s="88"/>
      <c r="AN204" s="88"/>
      <c r="AO204" s="88"/>
      <c r="AP204" s="88"/>
      <c r="AQ204" s="88"/>
      <c r="AR204" s="88"/>
      <c r="AS204" s="88"/>
      <c r="AT204" s="88"/>
      <c r="AU204" s="88"/>
      <c r="AV204" s="88"/>
      <c r="AW204" s="88"/>
      <c r="AX204" s="88"/>
      <c r="AY204" s="88"/>
      <c r="AZ204" s="88"/>
      <c r="BA204" s="88"/>
      <c r="BB204" s="88"/>
      <c r="BC204" s="88"/>
      <c r="BD204" s="88"/>
      <c r="BE204" s="88"/>
      <c r="BF204" s="88"/>
      <c r="BG204" s="88"/>
      <c r="BH204" s="88"/>
      <c r="BI204" s="88"/>
      <c r="BJ204" s="88"/>
      <c r="BK204" s="88"/>
      <c r="BL204" s="88"/>
      <c r="BM204" s="88"/>
      <c r="BN204" s="88"/>
      <c r="BO204" s="88"/>
      <c r="BP204" s="88"/>
      <c r="BQ204" s="88"/>
      <c r="BR204" s="88"/>
      <c r="BS204" s="88"/>
      <c r="BT204" s="88"/>
      <c r="BU204" s="88"/>
      <c r="BV204" s="88"/>
      <c r="BW204" s="88"/>
      <c r="BX204" s="88"/>
      <c r="BY204" s="88"/>
      <c r="BZ204" s="88"/>
      <c r="CA204" s="88"/>
      <c r="CB204" s="88"/>
      <c r="CC204" s="88"/>
      <c r="CD204" s="88"/>
      <c r="CE204" s="88"/>
      <c r="CF204" s="88"/>
      <c r="CG204" s="88"/>
      <c r="CH204" s="88"/>
      <c r="CI204" s="88"/>
      <c r="CJ204" s="88"/>
      <c r="CK204" s="88"/>
      <c r="CL204" s="88"/>
      <c r="CM204" s="88"/>
      <c r="CN204" s="88"/>
      <c r="CO204" s="88"/>
      <c r="CP204" s="88"/>
      <c r="CQ204" s="88"/>
      <c r="CR204" s="88"/>
      <c r="CS204" s="88"/>
      <c r="CT204" s="88"/>
      <c r="CU204" s="88"/>
      <c r="CV204" s="88"/>
      <c r="CW204" s="88"/>
      <c r="CX204" s="88"/>
      <c r="CY204" s="88"/>
      <c r="CZ204" s="88"/>
      <c r="DA204" s="88"/>
      <c r="DB204" s="88"/>
      <c r="DC204" s="88"/>
      <c r="DD204" s="88"/>
      <c r="DE204" s="88"/>
      <c r="DF204" s="88"/>
      <c r="DG204" s="88"/>
      <c r="DH204" s="88"/>
      <c r="DI204" s="88"/>
      <c r="DJ204" s="88"/>
      <c r="DK204" s="88"/>
      <c r="DL204" s="88"/>
      <c r="DM204" s="88"/>
      <c r="DN204" s="88"/>
      <c r="DO204" s="88"/>
      <c r="DP204" s="88"/>
      <c r="DQ204" s="88"/>
      <c r="DR204" s="88"/>
      <c r="DS204" s="88"/>
      <c r="DT204" s="88"/>
      <c r="DU204" s="88"/>
      <c r="DV204" s="88"/>
      <c r="DW204" s="88"/>
      <c r="DX204" s="88"/>
      <c r="DY204" s="88"/>
      <c r="DZ204" s="88"/>
      <c r="EA204" s="88"/>
      <c r="EB204" s="88"/>
      <c r="EC204" s="88"/>
      <c r="ED204" s="88"/>
      <c r="EE204" s="88"/>
      <c r="EF204" s="88"/>
      <c r="EG204" s="88"/>
      <c r="EH204" s="88"/>
      <c r="EI204" s="88"/>
      <c r="EJ204" s="88"/>
      <c r="EK204" s="88"/>
      <c r="EL204" s="88"/>
      <c r="EM204" s="88"/>
      <c r="EN204" s="88"/>
      <c r="EO204" s="88"/>
      <c r="EP204" s="88"/>
      <c r="EQ204" s="88"/>
      <c r="ER204" s="88"/>
      <c r="ES204" s="88"/>
      <c r="ET204" s="88"/>
      <c r="EU204" s="88"/>
      <c r="EV204" s="88"/>
      <c r="EW204" s="88"/>
      <c r="EX204" s="88"/>
      <c r="EY204" s="88"/>
      <c r="EZ204" s="88"/>
      <c r="FA204" s="88"/>
      <c r="FB204" s="88"/>
      <c r="FC204" s="88"/>
      <c r="FD204" s="88"/>
      <c r="FE204" s="88"/>
      <c r="FF204" s="88"/>
      <c r="FG204" s="88"/>
      <c r="FH204" s="88"/>
      <c r="FI204" s="88"/>
      <c r="FJ204" s="88"/>
      <c r="FK204" s="88"/>
      <c r="FL204" s="88"/>
      <c r="FM204" s="88"/>
      <c r="FN204" s="88"/>
      <c r="FO204" s="88"/>
      <c r="FP204" s="88"/>
      <c r="FQ204" s="88"/>
      <c r="FR204" s="88"/>
      <c r="FS204" s="88"/>
      <c r="FT204" s="88"/>
      <c r="FU204" s="88"/>
      <c r="FV204" s="88"/>
      <c r="FW204" s="88"/>
      <c r="FX204" s="88"/>
      <c r="FY204" s="88"/>
      <c r="FZ204" s="88"/>
      <c r="GA204" s="88"/>
      <c r="GB204" s="88"/>
      <c r="GC204" s="88"/>
      <c r="GD204" s="88"/>
      <c r="GE204" s="88"/>
      <c r="GF204" s="88"/>
      <c r="GG204" s="88"/>
      <c r="GH204" s="88"/>
      <c r="GI204" s="88"/>
      <c r="GJ204" s="88"/>
      <c r="GK204" s="88"/>
      <c r="GL204" s="88"/>
      <c r="GM204" s="88"/>
      <c r="GN204" s="88"/>
      <c r="GO204" s="88"/>
      <c r="GP204" s="88"/>
      <c r="GQ204" s="88"/>
      <c r="GR204" s="88"/>
      <c r="GS204" s="88"/>
      <c r="GT204" s="88"/>
      <c r="GU204" s="88"/>
      <c r="GV204" s="88"/>
      <c r="GW204" s="88"/>
      <c r="GX204" s="88"/>
      <c r="GY204" s="88"/>
      <c r="GZ204" s="88"/>
      <c r="HA204" s="88"/>
      <c r="HB204" s="88"/>
      <c r="HC204" s="88"/>
      <c r="HD204" s="88"/>
      <c r="HE204" s="88"/>
      <c r="HF204" s="88"/>
      <c r="HG204" s="88"/>
      <c r="HH204" s="88"/>
      <c r="HI204" s="88"/>
      <c r="HJ204" s="88"/>
      <c r="HK204" s="88"/>
      <c r="HL204" s="88"/>
    </row>
    <row r="205" spans="1:220" s="89" customFormat="1" x14ac:dyDescent="0.25">
      <c r="A205" s="85" t="s">
        <v>238</v>
      </c>
      <c r="B205" s="22">
        <v>140</v>
      </c>
      <c r="C205" s="22">
        <v>6</v>
      </c>
      <c r="D205" s="22">
        <v>23.333333333333332</v>
      </c>
      <c r="E205" s="22">
        <v>600</v>
      </c>
      <c r="F205" s="22">
        <v>4.2857142857142856</v>
      </c>
      <c r="G205" s="22">
        <v>20</v>
      </c>
      <c r="H205" s="21">
        <v>0</v>
      </c>
      <c r="I205" s="22">
        <v>0</v>
      </c>
      <c r="J205" s="23" t="s">
        <v>16</v>
      </c>
      <c r="K205" s="22">
        <v>300</v>
      </c>
      <c r="L205" s="22">
        <v>36.700000000000003</v>
      </c>
      <c r="M205" s="22">
        <v>1390</v>
      </c>
      <c r="N205" s="104">
        <v>1</v>
      </c>
      <c r="O205" s="7" t="s">
        <v>235</v>
      </c>
      <c r="P205" s="92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88"/>
      <c r="AC205" s="88"/>
      <c r="AD205" s="88"/>
      <c r="AE205" s="88"/>
      <c r="AF205" s="88"/>
      <c r="AG205" s="88"/>
      <c r="AH205" s="88"/>
      <c r="AI205" s="88"/>
      <c r="AJ205" s="88"/>
      <c r="AK205" s="88"/>
      <c r="AL205" s="88"/>
      <c r="AM205" s="88"/>
      <c r="AN205" s="88"/>
      <c r="AO205" s="88"/>
      <c r="AP205" s="88"/>
      <c r="AQ205" s="88"/>
      <c r="AR205" s="88"/>
      <c r="AS205" s="88"/>
      <c r="AT205" s="88"/>
      <c r="AU205" s="88"/>
      <c r="AV205" s="88"/>
      <c r="AW205" s="88"/>
      <c r="AX205" s="88"/>
      <c r="AY205" s="88"/>
      <c r="AZ205" s="88"/>
      <c r="BA205" s="88"/>
      <c r="BB205" s="88"/>
      <c r="BC205" s="88"/>
      <c r="BD205" s="88"/>
      <c r="BE205" s="88"/>
      <c r="BF205" s="88"/>
      <c r="BG205" s="88"/>
      <c r="BH205" s="88"/>
      <c r="BI205" s="88"/>
      <c r="BJ205" s="88"/>
      <c r="BK205" s="88"/>
      <c r="BL205" s="88"/>
      <c r="BM205" s="88"/>
      <c r="BN205" s="88"/>
      <c r="BO205" s="88"/>
      <c r="BP205" s="88"/>
      <c r="BQ205" s="88"/>
      <c r="BR205" s="88"/>
      <c r="BS205" s="88"/>
      <c r="BT205" s="88"/>
      <c r="BU205" s="88"/>
      <c r="BV205" s="88"/>
      <c r="BW205" s="88"/>
      <c r="BX205" s="88"/>
      <c r="BY205" s="88"/>
      <c r="BZ205" s="88"/>
      <c r="CA205" s="88"/>
      <c r="CB205" s="88"/>
      <c r="CC205" s="88"/>
      <c r="CD205" s="88"/>
      <c r="CE205" s="88"/>
      <c r="CF205" s="88"/>
      <c r="CG205" s="88"/>
      <c r="CH205" s="88"/>
      <c r="CI205" s="88"/>
      <c r="CJ205" s="88"/>
      <c r="CK205" s="88"/>
      <c r="CL205" s="88"/>
      <c r="CM205" s="88"/>
      <c r="CN205" s="88"/>
      <c r="CO205" s="88"/>
      <c r="CP205" s="88"/>
      <c r="CQ205" s="88"/>
      <c r="CR205" s="88"/>
      <c r="CS205" s="88"/>
      <c r="CT205" s="88"/>
      <c r="CU205" s="88"/>
      <c r="CV205" s="88"/>
      <c r="CW205" s="88"/>
      <c r="CX205" s="88"/>
      <c r="CY205" s="88"/>
      <c r="CZ205" s="88"/>
      <c r="DA205" s="88"/>
      <c r="DB205" s="88"/>
      <c r="DC205" s="88"/>
      <c r="DD205" s="88"/>
      <c r="DE205" s="88"/>
      <c r="DF205" s="88"/>
      <c r="DG205" s="88"/>
      <c r="DH205" s="88"/>
      <c r="DI205" s="88"/>
      <c r="DJ205" s="88"/>
      <c r="DK205" s="88"/>
      <c r="DL205" s="88"/>
      <c r="DM205" s="88"/>
      <c r="DN205" s="88"/>
      <c r="DO205" s="88"/>
      <c r="DP205" s="88"/>
      <c r="DQ205" s="88"/>
      <c r="DR205" s="88"/>
      <c r="DS205" s="88"/>
      <c r="DT205" s="88"/>
      <c r="DU205" s="88"/>
      <c r="DV205" s="88"/>
      <c r="DW205" s="88"/>
      <c r="DX205" s="88"/>
      <c r="DY205" s="88"/>
      <c r="DZ205" s="88"/>
      <c r="EA205" s="88"/>
      <c r="EB205" s="88"/>
      <c r="EC205" s="88"/>
      <c r="ED205" s="88"/>
      <c r="EE205" s="88"/>
      <c r="EF205" s="88"/>
      <c r="EG205" s="88"/>
      <c r="EH205" s="88"/>
      <c r="EI205" s="88"/>
      <c r="EJ205" s="88"/>
      <c r="EK205" s="88"/>
      <c r="EL205" s="88"/>
      <c r="EM205" s="88"/>
      <c r="EN205" s="88"/>
      <c r="EO205" s="88"/>
      <c r="EP205" s="88"/>
      <c r="EQ205" s="88"/>
      <c r="ER205" s="88"/>
      <c r="ES205" s="88"/>
      <c r="ET205" s="88"/>
      <c r="EU205" s="88"/>
      <c r="EV205" s="88"/>
      <c r="EW205" s="88"/>
      <c r="EX205" s="88"/>
      <c r="EY205" s="88"/>
      <c r="EZ205" s="88"/>
      <c r="FA205" s="88"/>
      <c r="FB205" s="88"/>
      <c r="FC205" s="88"/>
      <c r="FD205" s="88"/>
      <c r="FE205" s="88"/>
      <c r="FF205" s="88"/>
      <c r="FG205" s="88"/>
      <c r="FH205" s="88"/>
      <c r="FI205" s="88"/>
      <c r="FJ205" s="88"/>
      <c r="FK205" s="88"/>
      <c r="FL205" s="88"/>
      <c r="FM205" s="88"/>
      <c r="FN205" s="88"/>
      <c r="FO205" s="88"/>
      <c r="FP205" s="88"/>
      <c r="FQ205" s="88"/>
      <c r="FR205" s="88"/>
      <c r="FS205" s="88"/>
      <c r="FT205" s="88"/>
      <c r="FU205" s="88"/>
      <c r="FV205" s="88"/>
      <c r="FW205" s="88"/>
      <c r="FX205" s="88"/>
      <c r="FY205" s="88"/>
      <c r="FZ205" s="88"/>
      <c r="GA205" s="88"/>
      <c r="GB205" s="88"/>
      <c r="GC205" s="88"/>
      <c r="GD205" s="88"/>
      <c r="GE205" s="88"/>
      <c r="GF205" s="88"/>
      <c r="GG205" s="88"/>
      <c r="GH205" s="88"/>
      <c r="GI205" s="88"/>
      <c r="GJ205" s="88"/>
      <c r="GK205" s="88"/>
      <c r="GL205" s="88"/>
      <c r="GM205" s="88"/>
      <c r="GN205" s="88"/>
      <c r="GO205" s="88"/>
      <c r="GP205" s="88"/>
      <c r="GQ205" s="88"/>
      <c r="GR205" s="88"/>
      <c r="GS205" s="88"/>
      <c r="GT205" s="88"/>
      <c r="GU205" s="88"/>
      <c r="GV205" s="88"/>
      <c r="GW205" s="88"/>
      <c r="GX205" s="88"/>
      <c r="GY205" s="88"/>
      <c r="GZ205" s="88"/>
      <c r="HA205" s="88"/>
      <c r="HB205" s="88"/>
      <c r="HC205" s="88"/>
      <c r="HD205" s="88"/>
      <c r="HE205" s="88"/>
      <c r="HF205" s="88"/>
      <c r="HG205" s="88"/>
      <c r="HH205" s="88"/>
      <c r="HI205" s="88"/>
      <c r="HJ205" s="88"/>
      <c r="HK205" s="88"/>
      <c r="HL205" s="88"/>
    </row>
    <row r="206" spans="1:220" s="89" customFormat="1" x14ac:dyDescent="0.25">
      <c r="A206" s="85" t="s">
        <v>239</v>
      </c>
      <c r="B206" s="22">
        <v>180</v>
      </c>
      <c r="C206" s="22">
        <v>3</v>
      </c>
      <c r="D206" s="22">
        <v>60</v>
      </c>
      <c r="E206" s="22">
        <v>600</v>
      </c>
      <c r="F206" s="22">
        <v>3.3333333333333335</v>
      </c>
      <c r="G206" s="22">
        <v>20</v>
      </c>
      <c r="H206" s="21">
        <v>0</v>
      </c>
      <c r="I206" s="22">
        <v>0</v>
      </c>
      <c r="J206" s="23" t="s">
        <v>16</v>
      </c>
      <c r="K206" s="22">
        <v>320</v>
      </c>
      <c r="L206" s="22">
        <v>36.700000000000003</v>
      </c>
      <c r="M206" s="22">
        <v>1852</v>
      </c>
      <c r="N206" s="104">
        <v>1</v>
      </c>
      <c r="O206" s="7" t="s">
        <v>235</v>
      </c>
      <c r="P206" s="92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88"/>
      <c r="AC206" s="88"/>
      <c r="AD206" s="88"/>
      <c r="AE206" s="88"/>
      <c r="AF206" s="88"/>
      <c r="AG206" s="88"/>
      <c r="AH206" s="88"/>
      <c r="AI206" s="88"/>
      <c r="AJ206" s="88"/>
      <c r="AK206" s="88"/>
      <c r="AL206" s="88"/>
      <c r="AM206" s="88"/>
      <c r="AN206" s="88"/>
      <c r="AO206" s="88"/>
      <c r="AP206" s="88"/>
      <c r="AQ206" s="88"/>
      <c r="AR206" s="88"/>
      <c r="AS206" s="88"/>
      <c r="AT206" s="88"/>
      <c r="AU206" s="88"/>
      <c r="AV206" s="88"/>
      <c r="AW206" s="88"/>
      <c r="AX206" s="88"/>
      <c r="AY206" s="88"/>
      <c r="AZ206" s="88"/>
      <c r="BA206" s="88"/>
      <c r="BB206" s="88"/>
      <c r="BC206" s="88"/>
      <c r="BD206" s="88"/>
      <c r="BE206" s="88"/>
      <c r="BF206" s="88"/>
      <c r="BG206" s="88"/>
      <c r="BH206" s="88"/>
      <c r="BI206" s="88"/>
      <c r="BJ206" s="88"/>
      <c r="BK206" s="88"/>
      <c r="BL206" s="88"/>
      <c r="BM206" s="88"/>
      <c r="BN206" s="88"/>
      <c r="BO206" s="88"/>
      <c r="BP206" s="88"/>
      <c r="BQ206" s="88"/>
      <c r="BR206" s="88"/>
      <c r="BS206" s="88"/>
      <c r="BT206" s="88"/>
      <c r="BU206" s="88"/>
      <c r="BV206" s="88"/>
      <c r="BW206" s="88"/>
      <c r="BX206" s="88"/>
      <c r="BY206" s="88"/>
      <c r="BZ206" s="88"/>
      <c r="CA206" s="88"/>
      <c r="CB206" s="88"/>
      <c r="CC206" s="88"/>
      <c r="CD206" s="88"/>
      <c r="CE206" s="88"/>
      <c r="CF206" s="88"/>
      <c r="CG206" s="88"/>
      <c r="CH206" s="88"/>
      <c r="CI206" s="88"/>
      <c r="CJ206" s="88"/>
      <c r="CK206" s="88"/>
      <c r="CL206" s="88"/>
      <c r="CM206" s="88"/>
      <c r="CN206" s="88"/>
      <c r="CO206" s="88"/>
      <c r="CP206" s="88"/>
      <c r="CQ206" s="88"/>
      <c r="CR206" s="88"/>
      <c r="CS206" s="88"/>
      <c r="CT206" s="88"/>
      <c r="CU206" s="88"/>
      <c r="CV206" s="88"/>
      <c r="CW206" s="88"/>
      <c r="CX206" s="88"/>
      <c r="CY206" s="88"/>
      <c r="CZ206" s="88"/>
      <c r="DA206" s="88"/>
      <c r="DB206" s="88"/>
      <c r="DC206" s="88"/>
      <c r="DD206" s="88"/>
      <c r="DE206" s="88"/>
      <c r="DF206" s="88"/>
      <c r="DG206" s="88"/>
      <c r="DH206" s="88"/>
      <c r="DI206" s="88"/>
      <c r="DJ206" s="88"/>
      <c r="DK206" s="88"/>
      <c r="DL206" s="88"/>
      <c r="DM206" s="88"/>
      <c r="DN206" s="88"/>
      <c r="DO206" s="88"/>
      <c r="DP206" s="88"/>
      <c r="DQ206" s="88"/>
      <c r="DR206" s="88"/>
      <c r="DS206" s="88"/>
      <c r="DT206" s="88"/>
      <c r="DU206" s="88"/>
      <c r="DV206" s="88"/>
      <c r="DW206" s="88"/>
      <c r="DX206" s="88"/>
      <c r="DY206" s="88"/>
      <c r="DZ206" s="88"/>
      <c r="EA206" s="88"/>
      <c r="EB206" s="88"/>
      <c r="EC206" s="88"/>
      <c r="ED206" s="88"/>
      <c r="EE206" s="88"/>
      <c r="EF206" s="88"/>
      <c r="EG206" s="88"/>
      <c r="EH206" s="88"/>
      <c r="EI206" s="88"/>
      <c r="EJ206" s="88"/>
      <c r="EK206" s="88"/>
      <c r="EL206" s="88"/>
      <c r="EM206" s="88"/>
      <c r="EN206" s="88"/>
      <c r="EO206" s="88"/>
      <c r="EP206" s="88"/>
      <c r="EQ206" s="88"/>
      <c r="ER206" s="88"/>
      <c r="ES206" s="88"/>
      <c r="ET206" s="88"/>
      <c r="EU206" s="88"/>
      <c r="EV206" s="88"/>
      <c r="EW206" s="88"/>
      <c r="EX206" s="88"/>
      <c r="EY206" s="88"/>
      <c r="EZ206" s="88"/>
      <c r="FA206" s="88"/>
      <c r="FB206" s="88"/>
      <c r="FC206" s="88"/>
      <c r="FD206" s="88"/>
      <c r="FE206" s="88"/>
      <c r="FF206" s="88"/>
      <c r="FG206" s="88"/>
      <c r="FH206" s="88"/>
      <c r="FI206" s="88"/>
      <c r="FJ206" s="88"/>
      <c r="FK206" s="88"/>
      <c r="FL206" s="88"/>
      <c r="FM206" s="88"/>
      <c r="FN206" s="88"/>
      <c r="FO206" s="88"/>
      <c r="FP206" s="88"/>
      <c r="FQ206" s="88"/>
      <c r="FR206" s="88"/>
      <c r="FS206" s="88"/>
      <c r="FT206" s="88"/>
      <c r="FU206" s="88"/>
      <c r="FV206" s="88"/>
      <c r="FW206" s="88"/>
      <c r="FX206" s="88"/>
      <c r="FY206" s="88"/>
      <c r="FZ206" s="88"/>
      <c r="GA206" s="88"/>
      <c r="GB206" s="88"/>
      <c r="GC206" s="88"/>
      <c r="GD206" s="88"/>
      <c r="GE206" s="88"/>
      <c r="GF206" s="88"/>
      <c r="GG206" s="88"/>
      <c r="GH206" s="88"/>
      <c r="GI206" s="88"/>
      <c r="GJ206" s="88"/>
      <c r="GK206" s="88"/>
      <c r="GL206" s="88"/>
      <c r="GM206" s="88"/>
      <c r="GN206" s="88"/>
      <c r="GO206" s="88"/>
      <c r="GP206" s="88"/>
      <c r="GQ206" s="88"/>
      <c r="GR206" s="88"/>
      <c r="GS206" s="88"/>
      <c r="GT206" s="88"/>
      <c r="GU206" s="88"/>
      <c r="GV206" s="88"/>
      <c r="GW206" s="88"/>
      <c r="GX206" s="88"/>
      <c r="GY206" s="88"/>
      <c r="GZ206" s="88"/>
      <c r="HA206" s="88"/>
      <c r="HB206" s="88"/>
      <c r="HC206" s="88"/>
      <c r="HD206" s="88"/>
      <c r="HE206" s="88"/>
      <c r="HF206" s="88"/>
      <c r="HG206" s="88"/>
      <c r="HH206" s="88"/>
      <c r="HI206" s="88"/>
      <c r="HJ206" s="88"/>
      <c r="HK206" s="88"/>
      <c r="HL206" s="88"/>
    </row>
    <row r="207" spans="1:220" s="89" customFormat="1" x14ac:dyDescent="0.25">
      <c r="A207" s="85" t="s">
        <v>240</v>
      </c>
      <c r="B207" s="22">
        <v>180</v>
      </c>
      <c r="C207" s="22">
        <v>6</v>
      </c>
      <c r="D207" s="22">
        <v>30</v>
      </c>
      <c r="E207" s="22">
        <v>600</v>
      </c>
      <c r="F207" s="22">
        <v>3.3333333333333335</v>
      </c>
      <c r="G207" s="22">
        <v>20</v>
      </c>
      <c r="H207" s="21">
        <v>0</v>
      </c>
      <c r="I207" s="22">
        <v>0</v>
      </c>
      <c r="J207" s="23" t="s">
        <v>16</v>
      </c>
      <c r="K207" s="22">
        <v>320</v>
      </c>
      <c r="L207" s="22">
        <v>36.700000000000003</v>
      </c>
      <c r="M207" s="22">
        <v>1918</v>
      </c>
      <c r="N207" s="104">
        <v>1</v>
      </c>
      <c r="O207" s="7" t="s">
        <v>235</v>
      </c>
      <c r="P207" s="92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88"/>
      <c r="AC207" s="88"/>
      <c r="AD207" s="88"/>
      <c r="AE207" s="88"/>
      <c r="AF207" s="88"/>
      <c r="AG207" s="88"/>
      <c r="AH207" s="88"/>
      <c r="AI207" s="88"/>
      <c r="AJ207" s="88"/>
      <c r="AK207" s="88"/>
      <c r="AL207" s="88"/>
      <c r="AM207" s="88"/>
      <c r="AN207" s="88"/>
      <c r="AO207" s="88"/>
      <c r="AP207" s="88"/>
      <c r="AQ207" s="88"/>
      <c r="AR207" s="88"/>
      <c r="AS207" s="88"/>
      <c r="AT207" s="88"/>
      <c r="AU207" s="88"/>
      <c r="AV207" s="88"/>
      <c r="AW207" s="88"/>
      <c r="AX207" s="88"/>
      <c r="AY207" s="88"/>
      <c r="AZ207" s="88"/>
      <c r="BA207" s="88"/>
      <c r="BB207" s="88"/>
      <c r="BC207" s="88"/>
      <c r="BD207" s="88"/>
      <c r="BE207" s="88"/>
      <c r="BF207" s="88"/>
      <c r="BG207" s="88"/>
      <c r="BH207" s="88"/>
      <c r="BI207" s="88"/>
      <c r="BJ207" s="88"/>
      <c r="BK207" s="88"/>
      <c r="BL207" s="88"/>
      <c r="BM207" s="88"/>
      <c r="BN207" s="88"/>
      <c r="BO207" s="88"/>
      <c r="BP207" s="88"/>
      <c r="BQ207" s="88"/>
      <c r="BR207" s="88"/>
      <c r="BS207" s="88"/>
      <c r="BT207" s="88"/>
      <c r="BU207" s="88"/>
      <c r="BV207" s="88"/>
      <c r="BW207" s="88"/>
      <c r="BX207" s="88"/>
      <c r="BY207" s="88"/>
      <c r="BZ207" s="88"/>
      <c r="CA207" s="88"/>
      <c r="CB207" s="88"/>
      <c r="CC207" s="88"/>
      <c r="CD207" s="88"/>
      <c r="CE207" s="88"/>
      <c r="CF207" s="88"/>
      <c r="CG207" s="88"/>
      <c r="CH207" s="88"/>
      <c r="CI207" s="88"/>
      <c r="CJ207" s="88"/>
      <c r="CK207" s="88"/>
      <c r="CL207" s="88"/>
      <c r="CM207" s="88"/>
      <c r="CN207" s="88"/>
      <c r="CO207" s="88"/>
      <c r="CP207" s="88"/>
      <c r="CQ207" s="88"/>
      <c r="CR207" s="88"/>
      <c r="CS207" s="88"/>
      <c r="CT207" s="88"/>
      <c r="CU207" s="88"/>
      <c r="CV207" s="88"/>
      <c r="CW207" s="88"/>
      <c r="CX207" s="88"/>
      <c r="CY207" s="88"/>
      <c r="CZ207" s="88"/>
      <c r="DA207" s="88"/>
      <c r="DB207" s="88"/>
      <c r="DC207" s="88"/>
      <c r="DD207" s="88"/>
      <c r="DE207" s="88"/>
      <c r="DF207" s="88"/>
      <c r="DG207" s="88"/>
      <c r="DH207" s="88"/>
      <c r="DI207" s="88"/>
      <c r="DJ207" s="88"/>
      <c r="DK207" s="88"/>
      <c r="DL207" s="88"/>
      <c r="DM207" s="88"/>
      <c r="DN207" s="88"/>
      <c r="DO207" s="88"/>
      <c r="DP207" s="88"/>
      <c r="DQ207" s="88"/>
      <c r="DR207" s="88"/>
      <c r="DS207" s="88"/>
      <c r="DT207" s="88"/>
      <c r="DU207" s="88"/>
      <c r="DV207" s="88"/>
      <c r="DW207" s="88"/>
      <c r="DX207" s="88"/>
      <c r="DY207" s="88"/>
      <c r="DZ207" s="88"/>
      <c r="EA207" s="88"/>
      <c r="EB207" s="88"/>
      <c r="EC207" s="88"/>
      <c r="ED207" s="88"/>
      <c r="EE207" s="88"/>
      <c r="EF207" s="88"/>
      <c r="EG207" s="88"/>
      <c r="EH207" s="88"/>
      <c r="EI207" s="88"/>
      <c r="EJ207" s="88"/>
      <c r="EK207" s="88"/>
      <c r="EL207" s="88"/>
      <c r="EM207" s="88"/>
      <c r="EN207" s="88"/>
      <c r="EO207" s="88"/>
      <c r="EP207" s="88"/>
      <c r="EQ207" s="88"/>
      <c r="ER207" s="88"/>
      <c r="ES207" s="88"/>
      <c r="ET207" s="88"/>
      <c r="EU207" s="88"/>
      <c r="EV207" s="88"/>
      <c r="EW207" s="88"/>
      <c r="EX207" s="88"/>
      <c r="EY207" s="88"/>
      <c r="EZ207" s="88"/>
      <c r="FA207" s="88"/>
      <c r="FB207" s="88"/>
      <c r="FC207" s="88"/>
      <c r="FD207" s="88"/>
      <c r="FE207" s="88"/>
      <c r="FF207" s="88"/>
      <c r="FG207" s="88"/>
      <c r="FH207" s="88"/>
      <c r="FI207" s="88"/>
      <c r="FJ207" s="88"/>
      <c r="FK207" s="88"/>
      <c r="FL207" s="88"/>
      <c r="FM207" s="88"/>
      <c r="FN207" s="88"/>
      <c r="FO207" s="88"/>
      <c r="FP207" s="88"/>
      <c r="FQ207" s="88"/>
      <c r="FR207" s="88"/>
      <c r="FS207" s="88"/>
      <c r="FT207" s="88"/>
      <c r="FU207" s="88"/>
      <c r="FV207" s="88"/>
      <c r="FW207" s="88"/>
      <c r="FX207" s="88"/>
      <c r="FY207" s="88"/>
      <c r="FZ207" s="88"/>
      <c r="GA207" s="88"/>
      <c r="GB207" s="88"/>
      <c r="GC207" s="88"/>
      <c r="GD207" s="88"/>
      <c r="GE207" s="88"/>
      <c r="GF207" s="88"/>
      <c r="GG207" s="88"/>
      <c r="GH207" s="88"/>
      <c r="GI207" s="88"/>
      <c r="GJ207" s="88"/>
      <c r="GK207" s="88"/>
      <c r="GL207" s="88"/>
      <c r="GM207" s="88"/>
      <c r="GN207" s="88"/>
      <c r="GO207" s="88"/>
      <c r="GP207" s="88"/>
      <c r="GQ207" s="88"/>
      <c r="GR207" s="88"/>
      <c r="GS207" s="88"/>
      <c r="GT207" s="88"/>
      <c r="GU207" s="88"/>
      <c r="GV207" s="88"/>
      <c r="GW207" s="88"/>
      <c r="GX207" s="88"/>
      <c r="GY207" s="88"/>
      <c r="GZ207" s="88"/>
      <c r="HA207" s="88"/>
      <c r="HB207" s="88"/>
      <c r="HC207" s="88"/>
      <c r="HD207" s="88"/>
      <c r="HE207" s="88"/>
      <c r="HF207" s="88"/>
      <c r="HG207" s="88"/>
      <c r="HH207" s="88"/>
      <c r="HI207" s="88"/>
      <c r="HJ207" s="88"/>
      <c r="HK207" s="88"/>
      <c r="HL207" s="88"/>
    </row>
    <row r="208" spans="1:220" ht="28.8" customHeight="1" x14ac:dyDescent="0.25">
      <c r="A208" s="8" t="s">
        <v>241</v>
      </c>
      <c r="B208" s="7">
        <v>100</v>
      </c>
      <c r="C208" s="7">
        <v>3</v>
      </c>
      <c r="D208" s="7">
        <v>33.333333333333336</v>
      </c>
      <c r="E208" s="7">
        <v>600</v>
      </c>
      <c r="F208" s="7">
        <v>6</v>
      </c>
      <c r="G208" s="7">
        <v>400</v>
      </c>
      <c r="H208" s="26">
        <v>75</v>
      </c>
      <c r="I208" s="7">
        <v>14000</v>
      </c>
      <c r="J208" s="66" t="s">
        <v>21</v>
      </c>
      <c r="K208" s="7">
        <v>285</v>
      </c>
      <c r="L208" s="7">
        <v>36.700000000000003</v>
      </c>
      <c r="M208" s="7">
        <v>765</v>
      </c>
      <c r="N208" s="67">
        <v>0.92727272727272703</v>
      </c>
      <c r="O208" s="7" t="s">
        <v>235</v>
      </c>
      <c r="P208" s="92"/>
    </row>
    <row r="209" spans="1:16" ht="28.8" customHeight="1" x14ac:dyDescent="0.25">
      <c r="A209" s="8" t="s">
        <v>242</v>
      </c>
      <c r="B209" s="7">
        <v>100</v>
      </c>
      <c r="C209" s="7">
        <v>6</v>
      </c>
      <c r="D209" s="7">
        <v>16.666666666666668</v>
      </c>
      <c r="E209" s="7">
        <v>600</v>
      </c>
      <c r="F209" s="7">
        <v>6</v>
      </c>
      <c r="G209" s="7">
        <v>400</v>
      </c>
      <c r="H209" s="26">
        <v>75</v>
      </c>
      <c r="I209" s="7">
        <v>14000</v>
      </c>
      <c r="J209" s="66" t="s">
        <v>21</v>
      </c>
      <c r="K209" s="7">
        <v>285</v>
      </c>
      <c r="L209" s="7">
        <v>36.700000000000003</v>
      </c>
      <c r="M209" s="7">
        <v>845</v>
      </c>
      <c r="N209" s="67">
        <v>0.949438202247191</v>
      </c>
      <c r="O209" s="7" t="s">
        <v>235</v>
      </c>
      <c r="P209" s="92"/>
    </row>
    <row r="210" spans="1:16" ht="28.8" customHeight="1" x14ac:dyDescent="0.25">
      <c r="A210" s="8" t="s">
        <v>243</v>
      </c>
      <c r="B210" s="7">
        <v>140</v>
      </c>
      <c r="C210" s="7">
        <v>3</v>
      </c>
      <c r="D210" s="7">
        <v>46.666666666666664</v>
      </c>
      <c r="E210" s="7">
        <v>600</v>
      </c>
      <c r="F210" s="7">
        <v>4.2857142857142856</v>
      </c>
      <c r="G210" s="7">
        <v>400</v>
      </c>
      <c r="H210" s="26">
        <v>75</v>
      </c>
      <c r="I210" s="7">
        <v>14000</v>
      </c>
      <c r="J210" s="66" t="s">
        <v>21</v>
      </c>
      <c r="K210" s="7">
        <v>300</v>
      </c>
      <c r="L210" s="7">
        <v>36.700000000000003</v>
      </c>
      <c r="M210" s="7">
        <v>1275</v>
      </c>
      <c r="N210" s="67">
        <v>0.96444780635400895</v>
      </c>
      <c r="O210" s="7" t="s">
        <v>235</v>
      </c>
      <c r="P210" s="92"/>
    </row>
    <row r="211" spans="1:16" ht="28.8" customHeight="1" x14ac:dyDescent="0.25">
      <c r="A211" s="8" t="s">
        <v>244</v>
      </c>
      <c r="B211" s="7">
        <v>140</v>
      </c>
      <c r="C211" s="7">
        <v>6</v>
      </c>
      <c r="D211" s="7">
        <v>23.333333333333332</v>
      </c>
      <c r="E211" s="7">
        <v>600</v>
      </c>
      <c r="F211" s="7">
        <v>4.2857142857142856</v>
      </c>
      <c r="G211" s="7">
        <v>400</v>
      </c>
      <c r="H211" s="26">
        <v>75</v>
      </c>
      <c r="I211" s="7">
        <v>14000</v>
      </c>
      <c r="J211" s="66" t="s">
        <v>21</v>
      </c>
      <c r="K211" s="7">
        <v>300</v>
      </c>
      <c r="L211" s="7">
        <v>36.700000000000003</v>
      </c>
      <c r="M211" s="7">
        <v>1342</v>
      </c>
      <c r="N211" s="67">
        <v>0.96546762589928103</v>
      </c>
      <c r="O211" s="7" t="s">
        <v>235</v>
      </c>
      <c r="P211" s="92"/>
    </row>
    <row r="212" spans="1:16" ht="28.8" customHeight="1" x14ac:dyDescent="0.25">
      <c r="A212" s="8" t="s">
        <v>245</v>
      </c>
      <c r="B212" s="7">
        <v>180</v>
      </c>
      <c r="C212" s="7">
        <v>3</v>
      </c>
      <c r="D212" s="7">
        <v>60</v>
      </c>
      <c r="E212" s="7">
        <v>600</v>
      </c>
      <c r="F212" s="7">
        <v>3.3333333333333335</v>
      </c>
      <c r="G212" s="7">
        <v>400</v>
      </c>
      <c r="H212" s="26">
        <v>75</v>
      </c>
      <c r="I212" s="7">
        <v>14000</v>
      </c>
      <c r="J212" s="66" t="s">
        <v>21</v>
      </c>
      <c r="K212" s="7">
        <v>320</v>
      </c>
      <c r="L212" s="7">
        <v>36.700000000000003</v>
      </c>
      <c r="M212" s="7">
        <v>1798</v>
      </c>
      <c r="N212" s="67">
        <v>0.97084233261339103</v>
      </c>
      <c r="O212" s="7" t="s">
        <v>235</v>
      </c>
      <c r="P212" s="92"/>
    </row>
    <row r="213" spans="1:16" ht="28.8" customHeight="1" x14ac:dyDescent="0.25">
      <c r="A213" s="8" t="s">
        <v>246</v>
      </c>
      <c r="B213" s="7">
        <v>180</v>
      </c>
      <c r="C213" s="7">
        <v>6</v>
      </c>
      <c r="D213" s="7">
        <v>30</v>
      </c>
      <c r="E213" s="7">
        <v>600</v>
      </c>
      <c r="F213" s="7">
        <v>3.3333333333333335</v>
      </c>
      <c r="G213" s="7">
        <v>400</v>
      </c>
      <c r="H213" s="26">
        <v>75</v>
      </c>
      <c r="I213" s="7">
        <v>14000</v>
      </c>
      <c r="J213" s="66" t="s">
        <v>21</v>
      </c>
      <c r="K213" s="7">
        <v>320</v>
      </c>
      <c r="L213" s="7">
        <v>36.700000000000003</v>
      </c>
      <c r="M213" s="7">
        <v>1875</v>
      </c>
      <c r="N213" s="67">
        <v>0.97758081334723701</v>
      </c>
      <c r="O213" s="7" t="s">
        <v>235</v>
      </c>
      <c r="P213" s="92"/>
    </row>
    <row r="214" spans="1:16" ht="28.8" customHeight="1" x14ac:dyDescent="0.25">
      <c r="A214" s="8" t="s">
        <v>247</v>
      </c>
      <c r="B214" s="7">
        <v>100</v>
      </c>
      <c r="C214" s="7">
        <v>3</v>
      </c>
      <c r="D214" s="7">
        <v>33.333333333333336</v>
      </c>
      <c r="E214" s="7">
        <v>600</v>
      </c>
      <c r="F214" s="7">
        <v>6</v>
      </c>
      <c r="G214" s="7">
        <v>600</v>
      </c>
      <c r="H214" s="26">
        <v>105</v>
      </c>
      <c r="I214" s="7">
        <v>31000</v>
      </c>
      <c r="J214" s="66" t="s">
        <v>21</v>
      </c>
      <c r="K214" s="7">
        <v>285</v>
      </c>
      <c r="L214" s="7">
        <v>36.700000000000003</v>
      </c>
      <c r="M214" s="7">
        <v>713</v>
      </c>
      <c r="N214" s="67">
        <v>0.86424242424242403</v>
      </c>
      <c r="O214" s="7" t="s">
        <v>235</v>
      </c>
      <c r="P214" s="92"/>
    </row>
    <row r="215" spans="1:16" ht="28.8" customHeight="1" x14ac:dyDescent="0.25">
      <c r="A215" s="8" t="s">
        <v>248</v>
      </c>
      <c r="B215" s="7">
        <v>100</v>
      </c>
      <c r="C215" s="7">
        <v>6</v>
      </c>
      <c r="D215" s="7">
        <v>16.666666666666668</v>
      </c>
      <c r="E215" s="7">
        <v>600</v>
      </c>
      <c r="F215" s="7">
        <v>6</v>
      </c>
      <c r="G215" s="7">
        <v>600</v>
      </c>
      <c r="H215" s="26">
        <v>105</v>
      </c>
      <c r="I215" s="7">
        <v>31000</v>
      </c>
      <c r="J215" s="66" t="s">
        <v>21</v>
      </c>
      <c r="K215" s="7">
        <v>285</v>
      </c>
      <c r="L215" s="7">
        <v>36.700000000000003</v>
      </c>
      <c r="M215" s="7">
        <v>782</v>
      </c>
      <c r="N215" s="67">
        <v>0.878651685393258</v>
      </c>
      <c r="O215" s="7" t="s">
        <v>235</v>
      </c>
      <c r="P215" s="92"/>
    </row>
    <row r="216" spans="1:16" ht="28.8" customHeight="1" x14ac:dyDescent="0.25">
      <c r="A216" s="8" t="s">
        <v>249</v>
      </c>
      <c r="B216" s="7">
        <v>140</v>
      </c>
      <c r="C216" s="7">
        <v>3</v>
      </c>
      <c r="D216" s="7">
        <v>46.666666666666664</v>
      </c>
      <c r="E216" s="7">
        <v>600</v>
      </c>
      <c r="F216" s="7">
        <v>4.2857142857142856</v>
      </c>
      <c r="G216" s="7">
        <v>600</v>
      </c>
      <c r="H216" s="26">
        <v>105</v>
      </c>
      <c r="I216" s="7">
        <v>31000</v>
      </c>
      <c r="J216" s="66" t="s">
        <v>21</v>
      </c>
      <c r="K216" s="7">
        <v>300</v>
      </c>
      <c r="L216" s="7">
        <v>36.700000000000003</v>
      </c>
      <c r="M216" s="7">
        <v>1205</v>
      </c>
      <c r="N216" s="67">
        <v>0.91149773071104401</v>
      </c>
      <c r="O216" s="7" t="s">
        <v>235</v>
      </c>
      <c r="P216" s="92"/>
    </row>
    <row r="217" spans="1:16" ht="28.8" customHeight="1" x14ac:dyDescent="0.25">
      <c r="A217" s="8" t="s">
        <v>250</v>
      </c>
      <c r="B217" s="7">
        <v>140</v>
      </c>
      <c r="C217" s="7">
        <v>6</v>
      </c>
      <c r="D217" s="7">
        <v>23.333333333333332</v>
      </c>
      <c r="E217" s="7">
        <v>600</v>
      </c>
      <c r="F217" s="7">
        <v>4.2857142857142856</v>
      </c>
      <c r="G217" s="7">
        <v>600</v>
      </c>
      <c r="H217" s="26">
        <v>105</v>
      </c>
      <c r="I217" s="7">
        <v>31000</v>
      </c>
      <c r="J217" s="66" t="s">
        <v>21</v>
      </c>
      <c r="K217" s="7">
        <v>300</v>
      </c>
      <c r="L217" s="7">
        <v>36.700000000000003</v>
      </c>
      <c r="M217" s="7">
        <v>1279</v>
      </c>
      <c r="N217" s="67">
        <v>0.92014388489208598</v>
      </c>
      <c r="O217" s="7" t="s">
        <v>235</v>
      </c>
      <c r="P217" s="92"/>
    </row>
    <row r="218" spans="1:16" ht="28.8" customHeight="1" x14ac:dyDescent="0.25">
      <c r="A218" s="8" t="s">
        <v>251</v>
      </c>
      <c r="B218" s="7">
        <v>180</v>
      </c>
      <c r="C218" s="7">
        <v>3</v>
      </c>
      <c r="D218" s="7">
        <v>60</v>
      </c>
      <c r="E218" s="7">
        <v>600</v>
      </c>
      <c r="F218" s="7">
        <v>3.3333333333333335</v>
      </c>
      <c r="G218" s="7">
        <v>600</v>
      </c>
      <c r="H218" s="26">
        <v>105</v>
      </c>
      <c r="I218" s="7">
        <v>31000</v>
      </c>
      <c r="J218" s="66" t="s">
        <v>21</v>
      </c>
      <c r="K218" s="7">
        <v>320</v>
      </c>
      <c r="L218" s="7">
        <v>36.700000000000003</v>
      </c>
      <c r="M218" s="7">
        <v>1729</v>
      </c>
      <c r="N218" s="67">
        <v>0.93358531317494597</v>
      </c>
      <c r="O218" s="7" t="s">
        <v>235</v>
      </c>
      <c r="P218" s="92"/>
    </row>
    <row r="219" spans="1:16" ht="28.8" customHeight="1" x14ac:dyDescent="0.25">
      <c r="A219" s="8" t="s">
        <v>252</v>
      </c>
      <c r="B219" s="7">
        <v>180</v>
      </c>
      <c r="C219" s="7">
        <v>6</v>
      </c>
      <c r="D219" s="7">
        <v>30</v>
      </c>
      <c r="E219" s="7">
        <v>600</v>
      </c>
      <c r="F219" s="7">
        <v>3.3333333333333335</v>
      </c>
      <c r="G219" s="7">
        <v>600</v>
      </c>
      <c r="H219" s="26">
        <v>105</v>
      </c>
      <c r="I219" s="7">
        <v>31000</v>
      </c>
      <c r="J219" s="66" t="s">
        <v>21</v>
      </c>
      <c r="K219" s="7">
        <v>320</v>
      </c>
      <c r="L219" s="7">
        <v>36.700000000000003</v>
      </c>
      <c r="M219" s="7">
        <v>1812</v>
      </c>
      <c r="N219" s="67">
        <v>0.94473409801876995</v>
      </c>
      <c r="O219" s="7" t="s">
        <v>235</v>
      </c>
      <c r="P219" s="92"/>
    </row>
    <row r="220" spans="1:16" ht="28.8" customHeight="1" x14ac:dyDescent="0.25">
      <c r="A220" s="8" t="s">
        <v>253</v>
      </c>
      <c r="B220" s="7">
        <v>100</v>
      </c>
      <c r="C220" s="7">
        <v>3</v>
      </c>
      <c r="D220" s="7">
        <v>33.333333333333336</v>
      </c>
      <c r="E220" s="7">
        <v>600</v>
      </c>
      <c r="F220" s="7">
        <v>6</v>
      </c>
      <c r="G220" s="7">
        <v>800</v>
      </c>
      <c r="H220" s="26">
        <v>130</v>
      </c>
      <c r="I220" s="7">
        <v>54000</v>
      </c>
      <c r="J220" s="66" t="s">
        <v>21</v>
      </c>
      <c r="K220" s="7">
        <v>285</v>
      </c>
      <c r="L220" s="7">
        <v>36.700000000000003</v>
      </c>
      <c r="M220" s="7">
        <v>655</v>
      </c>
      <c r="N220" s="67">
        <v>0.79393939393939394</v>
      </c>
      <c r="O220" s="7" t="s">
        <v>235</v>
      </c>
      <c r="P220" s="92"/>
    </row>
    <row r="221" spans="1:16" ht="28.8" customHeight="1" x14ac:dyDescent="0.25">
      <c r="A221" s="8" t="s">
        <v>254</v>
      </c>
      <c r="B221" s="7">
        <v>100</v>
      </c>
      <c r="C221" s="7">
        <v>6</v>
      </c>
      <c r="D221" s="7">
        <v>16.666666666666668</v>
      </c>
      <c r="E221" s="7">
        <v>600</v>
      </c>
      <c r="F221" s="7">
        <v>6</v>
      </c>
      <c r="G221" s="7">
        <v>800</v>
      </c>
      <c r="H221" s="26">
        <v>130</v>
      </c>
      <c r="I221" s="7">
        <v>54000</v>
      </c>
      <c r="J221" s="66" t="s">
        <v>21</v>
      </c>
      <c r="K221" s="7">
        <v>285</v>
      </c>
      <c r="L221" s="7">
        <v>36.700000000000003</v>
      </c>
      <c r="M221" s="7">
        <v>725</v>
      </c>
      <c r="N221" s="67">
        <v>0.81460674157303403</v>
      </c>
      <c r="O221" s="7" t="s">
        <v>235</v>
      </c>
      <c r="P221" s="92"/>
    </row>
    <row r="222" spans="1:16" ht="28.8" customHeight="1" x14ac:dyDescent="0.25">
      <c r="A222" s="8" t="s">
        <v>255</v>
      </c>
      <c r="B222" s="7">
        <v>140</v>
      </c>
      <c r="C222" s="7">
        <v>3</v>
      </c>
      <c r="D222" s="7">
        <v>46.666666666666664</v>
      </c>
      <c r="E222" s="7">
        <v>600</v>
      </c>
      <c r="F222" s="7">
        <v>4.2857142857142856</v>
      </c>
      <c r="G222" s="7">
        <v>800</v>
      </c>
      <c r="H222" s="26">
        <v>130</v>
      </c>
      <c r="I222" s="7">
        <v>54000</v>
      </c>
      <c r="J222" s="66" t="s">
        <v>21</v>
      </c>
      <c r="K222" s="7">
        <v>300</v>
      </c>
      <c r="L222" s="7">
        <v>36.700000000000003</v>
      </c>
      <c r="M222" s="7">
        <v>1152</v>
      </c>
      <c r="N222" s="67">
        <v>0.87140695915279898</v>
      </c>
      <c r="O222" s="7" t="s">
        <v>235</v>
      </c>
      <c r="P222" s="92"/>
    </row>
    <row r="223" spans="1:16" ht="28.8" customHeight="1" x14ac:dyDescent="0.25">
      <c r="A223" s="8" t="s">
        <v>256</v>
      </c>
      <c r="B223" s="7">
        <v>140</v>
      </c>
      <c r="C223" s="7">
        <v>6</v>
      </c>
      <c r="D223" s="7">
        <v>23.333333333333332</v>
      </c>
      <c r="E223" s="7">
        <v>600</v>
      </c>
      <c r="F223" s="7">
        <v>4.2857142857142856</v>
      </c>
      <c r="G223" s="7">
        <v>800</v>
      </c>
      <c r="H223" s="26">
        <v>130</v>
      </c>
      <c r="I223" s="7">
        <v>54000</v>
      </c>
      <c r="J223" s="66" t="s">
        <v>21</v>
      </c>
      <c r="K223" s="7">
        <v>300</v>
      </c>
      <c r="L223" s="7">
        <v>36.700000000000003</v>
      </c>
      <c r="M223" s="7">
        <v>1210</v>
      </c>
      <c r="N223" s="67">
        <v>0.87050359712230196</v>
      </c>
      <c r="O223" s="7" t="s">
        <v>235</v>
      </c>
      <c r="P223" s="92"/>
    </row>
    <row r="224" spans="1:16" ht="28.8" customHeight="1" x14ac:dyDescent="0.25">
      <c r="A224" s="8" t="s">
        <v>257</v>
      </c>
      <c r="B224" s="7">
        <v>180</v>
      </c>
      <c r="C224" s="7">
        <v>3</v>
      </c>
      <c r="D224" s="7">
        <v>60</v>
      </c>
      <c r="E224" s="7">
        <v>600</v>
      </c>
      <c r="F224" s="7">
        <v>3.3333333333333335</v>
      </c>
      <c r="G224" s="7">
        <v>800</v>
      </c>
      <c r="H224" s="26">
        <v>130</v>
      </c>
      <c r="I224" s="7">
        <v>54000</v>
      </c>
      <c r="J224" s="66" t="s">
        <v>21</v>
      </c>
      <c r="K224" s="7">
        <v>320</v>
      </c>
      <c r="L224" s="7">
        <v>36.700000000000003</v>
      </c>
      <c r="M224" s="7">
        <v>1682</v>
      </c>
      <c r="N224" s="67">
        <v>0.90820734341252696</v>
      </c>
      <c r="O224" s="7" t="s">
        <v>235</v>
      </c>
      <c r="P224" s="92"/>
    </row>
    <row r="225" spans="1:16" ht="28.8" customHeight="1" x14ac:dyDescent="0.25">
      <c r="A225" s="8" t="s">
        <v>258</v>
      </c>
      <c r="B225" s="7">
        <v>180</v>
      </c>
      <c r="C225" s="7">
        <v>6</v>
      </c>
      <c r="D225" s="7">
        <v>30</v>
      </c>
      <c r="E225" s="7">
        <v>600</v>
      </c>
      <c r="F225" s="7">
        <v>3.3333333333333335</v>
      </c>
      <c r="G225" s="7">
        <v>800</v>
      </c>
      <c r="H225" s="26">
        <v>130</v>
      </c>
      <c r="I225" s="7">
        <v>54000</v>
      </c>
      <c r="J225" s="66" t="s">
        <v>21</v>
      </c>
      <c r="K225" s="7">
        <v>320</v>
      </c>
      <c r="L225" s="7">
        <v>36.700000000000003</v>
      </c>
      <c r="M225" s="7">
        <v>1748</v>
      </c>
      <c r="N225" s="67">
        <v>0.91136600625651698</v>
      </c>
      <c r="O225" s="7" t="s">
        <v>235</v>
      </c>
      <c r="P225" s="92"/>
    </row>
    <row r="226" spans="1:16" ht="28.8" customHeight="1" x14ac:dyDescent="0.25">
      <c r="A226" s="8" t="s">
        <v>259</v>
      </c>
      <c r="B226" s="7">
        <v>100</v>
      </c>
      <c r="C226" s="7">
        <v>3</v>
      </c>
      <c r="D226" s="7">
        <v>33.333333333333336</v>
      </c>
      <c r="E226" s="7">
        <v>600</v>
      </c>
      <c r="F226" s="7">
        <v>6</v>
      </c>
      <c r="G226" s="7">
        <v>1000</v>
      </c>
      <c r="H226" s="26">
        <v>170</v>
      </c>
      <c r="I226" s="7">
        <v>96000</v>
      </c>
      <c r="J226" s="66" t="s">
        <v>21</v>
      </c>
      <c r="K226" s="7">
        <v>285</v>
      </c>
      <c r="L226" s="7">
        <v>36.700000000000003</v>
      </c>
      <c r="M226" s="7">
        <v>583</v>
      </c>
      <c r="N226" s="67">
        <v>0.706666666666667</v>
      </c>
      <c r="O226" s="7" t="s">
        <v>235</v>
      </c>
      <c r="P226" s="92"/>
    </row>
    <row r="227" spans="1:16" ht="28.8" customHeight="1" x14ac:dyDescent="0.25">
      <c r="A227" s="8" t="s">
        <v>260</v>
      </c>
      <c r="B227" s="7">
        <v>100</v>
      </c>
      <c r="C227" s="7">
        <v>6</v>
      </c>
      <c r="D227" s="7">
        <v>16.666666666666668</v>
      </c>
      <c r="E227" s="7">
        <v>600</v>
      </c>
      <c r="F227" s="7">
        <v>6</v>
      </c>
      <c r="G227" s="7">
        <v>1000</v>
      </c>
      <c r="H227" s="26">
        <v>170</v>
      </c>
      <c r="I227" s="7">
        <v>96000</v>
      </c>
      <c r="J227" s="66" t="s">
        <v>21</v>
      </c>
      <c r="K227" s="7">
        <v>285</v>
      </c>
      <c r="L227" s="7">
        <v>36.700000000000003</v>
      </c>
      <c r="M227" s="7">
        <v>658</v>
      </c>
      <c r="N227" s="67">
        <v>0.73932584269662904</v>
      </c>
      <c r="O227" s="7" t="s">
        <v>235</v>
      </c>
      <c r="P227" s="92"/>
    </row>
    <row r="228" spans="1:16" ht="28.8" customHeight="1" x14ac:dyDescent="0.25">
      <c r="A228" s="8" t="s">
        <v>261</v>
      </c>
      <c r="B228" s="7">
        <v>140</v>
      </c>
      <c r="C228" s="7">
        <v>3</v>
      </c>
      <c r="D228" s="7">
        <v>46.666666666666664</v>
      </c>
      <c r="E228" s="7">
        <v>600</v>
      </c>
      <c r="F228" s="7">
        <v>4.2857142857142856</v>
      </c>
      <c r="G228" s="7">
        <v>1000</v>
      </c>
      <c r="H228" s="26">
        <v>170</v>
      </c>
      <c r="I228" s="7">
        <v>96000</v>
      </c>
      <c r="J228" s="66" t="s">
        <v>21</v>
      </c>
      <c r="K228" s="7">
        <v>300</v>
      </c>
      <c r="L228" s="7">
        <v>36.700000000000003</v>
      </c>
      <c r="M228" s="7">
        <v>1086</v>
      </c>
      <c r="N228" s="67">
        <v>0.82148260211800295</v>
      </c>
      <c r="O228" s="7" t="s">
        <v>235</v>
      </c>
      <c r="P228" s="92"/>
    </row>
    <row r="229" spans="1:16" ht="28.8" customHeight="1" x14ac:dyDescent="0.25">
      <c r="A229" s="8" t="s">
        <v>262</v>
      </c>
      <c r="B229" s="7">
        <v>140</v>
      </c>
      <c r="C229" s="7">
        <v>6</v>
      </c>
      <c r="D229" s="7">
        <v>23.333333333333332</v>
      </c>
      <c r="E229" s="7">
        <v>600</v>
      </c>
      <c r="F229" s="7">
        <v>4.2857142857142856</v>
      </c>
      <c r="G229" s="7">
        <v>1000</v>
      </c>
      <c r="H229" s="26">
        <v>170</v>
      </c>
      <c r="I229" s="7">
        <v>96000</v>
      </c>
      <c r="J229" s="66" t="s">
        <v>21</v>
      </c>
      <c r="K229" s="7">
        <v>300</v>
      </c>
      <c r="L229" s="7">
        <v>36.700000000000003</v>
      </c>
      <c r="M229" s="7">
        <v>1156</v>
      </c>
      <c r="N229" s="67">
        <v>0.83165467625899303</v>
      </c>
      <c r="O229" s="7" t="s">
        <v>235</v>
      </c>
      <c r="P229" s="92"/>
    </row>
    <row r="230" spans="1:16" ht="28.8" customHeight="1" x14ac:dyDescent="0.25">
      <c r="A230" s="8" t="s">
        <v>263</v>
      </c>
      <c r="B230" s="7">
        <v>180</v>
      </c>
      <c r="C230" s="7">
        <v>3</v>
      </c>
      <c r="D230" s="7">
        <v>60</v>
      </c>
      <c r="E230" s="7">
        <v>600</v>
      </c>
      <c r="F230" s="7">
        <v>3.3333333333333335</v>
      </c>
      <c r="G230" s="7">
        <v>1000</v>
      </c>
      <c r="H230" s="26">
        <v>170</v>
      </c>
      <c r="I230" s="7">
        <v>96000</v>
      </c>
      <c r="J230" s="66" t="s">
        <v>21</v>
      </c>
      <c r="K230" s="7">
        <v>320</v>
      </c>
      <c r="L230" s="7">
        <v>36.700000000000003</v>
      </c>
      <c r="M230" s="7">
        <v>1615</v>
      </c>
      <c r="N230" s="67">
        <v>0.87203023758099396</v>
      </c>
      <c r="O230" s="7" t="s">
        <v>235</v>
      </c>
      <c r="P230" s="92"/>
    </row>
    <row r="231" spans="1:16" ht="28.8" customHeight="1" x14ac:dyDescent="0.25">
      <c r="A231" s="8" t="s">
        <v>264</v>
      </c>
      <c r="B231" s="7">
        <v>180</v>
      </c>
      <c r="C231" s="7">
        <v>6</v>
      </c>
      <c r="D231" s="7">
        <v>30</v>
      </c>
      <c r="E231" s="7">
        <v>600</v>
      </c>
      <c r="F231" s="7">
        <v>3.3333333333333335</v>
      </c>
      <c r="G231" s="7">
        <v>1000</v>
      </c>
      <c r="H231" s="26">
        <v>170</v>
      </c>
      <c r="I231" s="7">
        <v>96000</v>
      </c>
      <c r="J231" s="66" t="s">
        <v>21</v>
      </c>
      <c r="K231" s="7">
        <v>320</v>
      </c>
      <c r="L231" s="7">
        <v>36.700000000000003</v>
      </c>
      <c r="M231" s="7">
        <v>1688</v>
      </c>
      <c r="N231" s="67">
        <v>0.880083420229406</v>
      </c>
      <c r="O231" s="7" t="s">
        <v>235</v>
      </c>
      <c r="P231" s="92"/>
    </row>
    <row r="232" spans="1:16" x14ac:dyDescent="0.25">
      <c r="A232" s="8" t="s">
        <v>265</v>
      </c>
      <c r="B232" s="15">
        <v>96</v>
      </c>
      <c r="C232" s="15">
        <v>2</v>
      </c>
      <c r="D232" s="15">
        <v>48</v>
      </c>
      <c r="E232" s="15">
        <v>600</v>
      </c>
      <c r="F232" s="15">
        <v>6.25</v>
      </c>
      <c r="G232" s="15">
        <v>20</v>
      </c>
      <c r="H232" s="11">
        <v>0</v>
      </c>
      <c r="I232" s="15">
        <v>0</v>
      </c>
      <c r="J232" s="12" t="s">
        <v>16</v>
      </c>
      <c r="K232" s="15">
        <v>320.10000000000002</v>
      </c>
      <c r="L232" s="15">
        <v>42.8</v>
      </c>
      <c r="M232" s="15">
        <v>620</v>
      </c>
      <c r="N232" s="105">
        <v>1</v>
      </c>
      <c r="O232" s="13" t="s">
        <v>266</v>
      </c>
      <c r="P232" s="92"/>
    </row>
    <row r="233" spans="1:16" x14ac:dyDescent="0.25">
      <c r="A233" s="8" t="s">
        <v>267</v>
      </c>
      <c r="B233" s="13">
        <v>96</v>
      </c>
      <c r="C233" s="13">
        <v>2</v>
      </c>
      <c r="D233" s="13">
        <v>48</v>
      </c>
      <c r="E233" s="13">
        <v>600</v>
      </c>
      <c r="F233" s="13">
        <v>6.25</v>
      </c>
      <c r="G233" s="13">
        <v>200</v>
      </c>
      <c r="H233" s="68">
        <f t="array" ref="H233:H235">(G233:G235-20)/10+180</f>
        <v>198</v>
      </c>
      <c r="I233" s="13">
        <f t="array" ref="I233:I235">(G233:G235-20)/10*G233:G235/2+180*G233:G235</f>
        <v>37800</v>
      </c>
      <c r="J233" s="46" t="s">
        <v>21</v>
      </c>
      <c r="K233" s="13">
        <v>320.10000000000002</v>
      </c>
      <c r="L233" s="13">
        <v>42.8</v>
      </c>
      <c r="M233" s="13">
        <v>600</v>
      </c>
      <c r="N233" s="16">
        <v>0.967741935483871</v>
      </c>
      <c r="O233" s="13" t="s">
        <v>266</v>
      </c>
      <c r="P233" s="92"/>
    </row>
    <row r="234" spans="1:16" x14ac:dyDescent="0.25">
      <c r="A234" s="8" t="s">
        <v>268</v>
      </c>
      <c r="B234" s="13">
        <v>96</v>
      </c>
      <c r="C234" s="13">
        <v>2</v>
      </c>
      <c r="D234" s="13">
        <v>48</v>
      </c>
      <c r="E234" s="13">
        <v>600</v>
      </c>
      <c r="F234" s="13">
        <v>6.25</v>
      </c>
      <c r="G234" s="13">
        <v>500</v>
      </c>
      <c r="H234" s="68">
        <v>228</v>
      </c>
      <c r="I234" s="13">
        <v>102000</v>
      </c>
      <c r="J234" s="46" t="s">
        <v>21</v>
      </c>
      <c r="K234" s="13">
        <v>320.10000000000002</v>
      </c>
      <c r="L234" s="13">
        <v>42.8</v>
      </c>
      <c r="M234" s="13">
        <v>500</v>
      </c>
      <c r="N234" s="16">
        <v>0.80645161290322598</v>
      </c>
      <c r="O234" s="13" t="s">
        <v>266</v>
      </c>
      <c r="P234" s="92"/>
    </row>
    <row r="235" spans="1:16" x14ac:dyDescent="0.25">
      <c r="A235" s="8" t="s">
        <v>269</v>
      </c>
      <c r="B235" s="13">
        <v>96</v>
      </c>
      <c r="C235" s="13">
        <v>2</v>
      </c>
      <c r="D235" s="13">
        <v>48</v>
      </c>
      <c r="E235" s="13">
        <v>600</v>
      </c>
      <c r="F235" s="13">
        <v>6.25</v>
      </c>
      <c r="G235" s="13">
        <v>700</v>
      </c>
      <c r="H235" s="68">
        <v>248</v>
      </c>
      <c r="I235" s="13">
        <v>149800</v>
      </c>
      <c r="J235" s="46" t="s">
        <v>21</v>
      </c>
      <c r="K235" s="13">
        <v>320.10000000000002</v>
      </c>
      <c r="L235" s="13">
        <v>42.8</v>
      </c>
      <c r="M235" s="46">
        <v>410</v>
      </c>
      <c r="N235" s="16">
        <v>0.66129032258064502</v>
      </c>
      <c r="O235" s="13" t="s">
        <v>266</v>
      </c>
      <c r="P235" s="92"/>
    </row>
    <row r="236" spans="1:16" x14ac:dyDescent="0.25">
      <c r="A236" s="8" t="s">
        <v>270</v>
      </c>
      <c r="B236" s="15">
        <v>96</v>
      </c>
      <c r="C236" s="15">
        <v>2</v>
      </c>
      <c r="D236" s="15">
        <v>48</v>
      </c>
      <c r="E236" s="15">
        <v>600</v>
      </c>
      <c r="F236" s="15">
        <v>6.25</v>
      </c>
      <c r="G236" s="15">
        <v>20</v>
      </c>
      <c r="H236" s="11">
        <v>0</v>
      </c>
      <c r="I236" s="15">
        <v>0</v>
      </c>
      <c r="J236" s="12" t="s">
        <v>16</v>
      </c>
      <c r="K236" s="15">
        <v>320.10000000000002</v>
      </c>
      <c r="L236" s="15">
        <v>43.66</v>
      </c>
      <c r="M236" s="69">
        <v>625</v>
      </c>
      <c r="N236" s="105">
        <v>1</v>
      </c>
      <c r="O236" s="13" t="s">
        <v>266</v>
      </c>
      <c r="P236" s="92"/>
    </row>
    <row r="237" spans="1:16" x14ac:dyDescent="0.25">
      <c r="A237" s="8" t="s">
        <v>271</v>
      </c>
      <c r="B237" s="13">
        <v>96</v>
      </c>
      <c r="C237" s="13">
        <v>2</v>
      </c>
      <c r="D237" s="13">
        <v>48</v>
      </c>
      <c r="E237" s="13">
        <v>600</v>
      </c>
      <c r="F237" s="13">
        <v>6.25</v>
      </c>
      <c r="G237" s="13">
        <v>200</v>
      </c>
      <c r="H237" s="68">
        <f t="array" ref="H237:H239">(G237:G239-20)/10+180</f>
        <v>198</v>
      </c>
      <c r="I237" s="13">
        <f t="array" ref="I237:I239">(G237:G239-20)/10*G237:G239/2+180*G237:G239</f>
        <v>37800</v>
      </c>
      <c r="J237" s="46" t="s">
        <v>21</v>
      </c>
      <c r="K237" s="13">
        <v>320.10000000000002</v>
      </c>
      <c r="L237" s="13">
        <v>43.66</v>
      </c>
      <c r="M237" s="46">
        <v>610</v>
      </c>
      <c r="N237" s="16">
        <v>0.97599999999999998</v>
      </c>
      <c r="O237" s="13" t="s">
        <v>266</v>
      </c>
      <c r="P237" s="92"/>
    </row>
    <row r="238" spans="1:16" x14ac:dyDescent="0.25">
      <c r="A238" s="8" t="s">
        <v>272</v>
      </c>
      <c r="B238" s="13">
        <v>96</v>
      </c>
      <c r="C238" s="13">
        <v>2</v>
      </c>
      <c r="D238" s="13">
        <v>48</v>
      </c>
      <c r="E238" s="13">
        <v>600</v>
      </c>
      <c r="F238" s="13">
        <v>6.25</v>
      </c>
      <c r="G238" s="13">
        <v>500</v>
      </c>
      <c r="H238" s="68">
        <v>228</v>
      </c>
      <c r="I238" s="13">
        <v>102000</v>
      </c>
      <c r="J238" s="46" t="s">
        <v>21</v>
      </c>
      <c r="K238" s="13">
        <v>320.10000000000002</v>
      </c>
      <c r="L238" s="13">
        <v>43.66</v>
      </c>
      <c r="M238" s="46">
        <v>495</v>
      </c>
      <c r="N238" s="16">
        <v>0.79200000000000004</v>
      </c>
      <c r="O238" s="13" t="s">
        <v>266</v>
      </c>
      <c r="P238" s="92"/>
    </row>
    <row r="239" spans="1:16" x14ac:dyDescent="0.25">
      <c r="A239" s="8" t="s">
        <v>273</v>
      </c>
      <c r="B239" s="13">
        <v>96</v>
      </c>
      <c r="C239" s="13">
        <v>2</v>
      </c>
      <c r="D239" s="13">
        <v>48</v>
      </c>
      <c r="E239" s="13">
        <v>600</v>
      </c>
      <c r="F239" s="13">
        <v>6.25</v>
      </c>
      <c r="G239" s="13">
        <v>700</v>
      </c>
      <c r="H239" s="68">
        <v>248</v>
      </c>
      <c r="I239" s="13">
        <v>149800</v>
      </c>
      <c r="J239" s="46" t="s">
        <v>21</v>
      </c>
      <c r="K239" s="13">
        <v>320.10000000000002</v>
      </c>
      <c r="L239" s="13">
        <v>43.66</v>
      </c>
      <c r="M239" s="46">
        <v>405</v>
      </c>
      <c r="N239" s="16">
        <v>0.64800000000000002</v>
      </c>
      <c r="O239" s="13" t="s">
        <v>266</v>
      </c>
      <c r="P239" s="92"/>
    </row>
    <row r="240" spans="1:16" x14ac:dyDescent="0.25">
      <c r="A240" s="8" t="s">
        <v>274</v>
      </c>
      <c r="B240" s="15">
        <v>96</v>
      </c>
      <c r="C240" s="15">
        <v>2</v>
      </c>
      <c r="D240" s="15">
        <v>48</v>
      </c>
      <c r="E240" s="15">
        <v>600</v>
      </c>
      <c r="F240" s="15">
        <v>6.25</v>
      </c>
      <c r="G240" s="15">
        <v>20</v>
      </c>
      <c r="H240" s="11">
        <v>0</v>
      </c>
      <c r="I240" s="15">
        <v>0</v>
      </c>
      <c r="J240" s="12" t="s">
        <v>16</v>
      </c>
      <c r="K240" s="15">
        <v>320.10000000000002</v>
      </c>
      <c r="L240" s="15">
        <v>35.270000000000003</v>
      </c>
      <c r="M240" s="69">
        <v>580</v>
      </c>
      <c r="N240" s="105">
        <v>1</v>
      </c>
      <c r="O240" s="13" t="s">
        <v>266</v>
      </c>
      <c r="P240" s="92"/>
    </row>
    <row r="241" spans="1:16" x14ac:dyDescent="0.25">
      <c r="A241" s="8" t="s">
        <v>275</v>
      </c>
      <c r="B241" s="13">
        <v>96</v>
      </c>
      <c r="C241" s="13">
        <v>2</v>
      </c>
      <c r="D241" s="13">
        <v>48</v>
      </c>
      <c r="E241" s="13">
        <v>600</v>
      </c>
      <c r="F241" s="13">
        <v>6.25</v>
      </c>
      <c r="G241" s="13">
        <v>200</v>
      </c>
      <c r="H241" s="68">
        <f t="array" ref="H241:H243">(G241:G243-20)/10+180</f>
        <v>198</v>
      </c>
      <c r="I241" s="13">
        <f t="array" ref="I241:I243">(G241:G243-20)/10*G241:G243/2+180*G241:G243</f>
        <v>37800</v>
      </c>
      <c r="J241" s="46" t="s">
        <v>21</v>
      </c>
      <c r="K241" s="13">
        <v>320.10000000000002</v>
      </c>
      <c r="L241" s="13">
        <v>35.270000000000003</v>
      </c>
      <c r="M241" s="46">
        <v>570</v>
      </c>
      <c r="N241" s="16">
        <v>0.98275862068965503</v>
      </c>
      <c r="O241" s="13" t="s">
        <v>266</v>
      </c>
      <c r="P241" s="92"/>
    </row>
    <row r="242" spans="1:16" x14ac:dyDescent="0.25">
      <c r="A242" s="8" t="s">
        <v>276</v>
      </c>
      <c r="B242" s="13">
        <v>96</v>
      </c>
      <c r="C242" s="13">
        <v>2</v>
      </c>
      <c r="D242" s="13">
        <v>48</v>
      </c>
      <c r="E242" s="13">
        <v>600</v>
      </c>
      <c r="F242" s="13">
        <v>6.25</v>
      </c>
      <c r="G242" s="13">
        <v>500</v>
      </c>
      <c r="H242" s="68">
        <v>228</v>
      </c>
      <c r="I242" s="13">
        <v>102000</v>
      </c>
      <c r="J242" s="46" t="s">
        <v>21</v>
      </c>
      <c r="K242" s="13">
        <v>320.10000000000002</v>
      </c>
      <c r="L242" s="13">
        <v>35.270000000000003</v>
      </c>
      <c r="M242" s="46">
        <v>460</v>
      </c>
      <c r="N242" s="16">
        <v>0.79310344827586199</v>
      </c>
      <c r="O242" s="13" t="s">
        <v>266</v>
      </c>
      <c r="P242" s="92"/>
    </row>
    <row r="243" spans="1:16" x14ac:dyDescent="0.25">
      <c r="A243" s="8" t="s">
        <v>277</v>
      </c>
      <c r="B243" s="13">
        <v>96</v>
      </c>
      <c r="C243" s="13">
        <v>2</v>
      </c>
      <c r="D243" s="13">
        <v>48</v>
      </c>
      <c r="E243" s="13">
        <v>600</v>
      </c>
      <c r="F243" s="13">
        <v>6.25</v>
      </c>
      <c r="G243" s="13">
        <v>700</v>
      </c>
      <c r="H243" s="68">
        <v>248</v>
      </c>
      <c r="I243" s="13">
        <v>149800</v>
      </c>
      <c r="J243" s="46" t="s">
        <v>21</v>
      </c>
      <c r="K243" s="13">
        <v>320.10000000000002</v>
      </c>
      <c r="L243" s="13">
        <v>35.270000000000003</v>
      </c>
      <c r="M243" s="46">
        <v>365</v>
      </c>
      <c r="N243" s="16">
        <v>0.62931034482758597</v>
      </c>
      <c r="O243" s="13" t="s">
        <v>266</v>
      </c>
      <c r="P243" s="92"/>
    </row>
    <row r="244" spans="1:16" x14ac:dyDescent="0.25">
      <c r="A244" s="8" t="s">
        <v>278</v>
      </c>
      <c r="B244" s="50">
        <v>140</v>
      </c>
      <c r="C244" s="50">
        <v>6.5</v>
      </c>
      <c r="D244" s="50">
        <f t="shared" ref="D244:D250" si="2">B244/C244</f>
        <v>21.53846153846154</v>
      </c>
      <c r="E244" s="50">
        <v>440</v>
      </c>
      <c r="F244" s="50">
        <v>3.1428571428571428</v>
      </c>
      <c r="G244" s="50">
        <v>20</v>
      </c>
      <c r="H244" s="51">
        <v>0</v>
      </c>
      <c r="I244" s="50">
        <v>0</v>
      </c>
      <c r="J244" s="52" t="s">
        <v>16</v>
      </c>
      <c r="K244" s="50">
        <v>924</v>
      </c>
      <c r="L244" s="50">
        <v>63</v>
      </c>
      <c r="M244" s="55">
        <v>4173</v>
      </c>
      <c r="N244" s="101">
        <v>1</v>
      </c>
      <c r="O244" s="53" t="s">
        <v>279</v>
      </c>
    </row>
    <row r="245" spans="1:16" x14ac:dyDescent="0.25">
      <c r="A245" s="8" t="s">
        <v>280</v>
      </c>
      <c r="B245" s="53">
        <v>140</v>
      </c>
      <c r="C245" s="53">
        <v>6.5</v>
      </c>
      <c r="D245" s="53">
        <f t="shared" si="2"/>
        <v>21.53846153846154</v>
      </c>
      <c r="E245" s="53">
        <v>440</v>
      </c>
      <c r="F245" s="53">
        <v>3.1428571428571428</v>
      </c>
      <c r="G245" s="53">
        <v>400</v>
      </c>
      <c r="H245" s="54">
        <f>(G245-20)/30+120</f>
        <v>132.66666666666666</v>
      </c>
      <c r="I245" s="53">
        <v>50533.333333333299</v>
      </c>
      <c r="J245" s="70" t="s">
        <v>21</v>
      </c>
      <c r="K245" s="53">
        <v>924</v>
      </c>
      <c r="L245" s="53">
        <v>63</v>
      </c>
      <c r="M245" s="53">
        <v>4249</v>
      </c>
      <c r="N245" s="56">
        <v>1.01821231727774</v>
      </c>
      <c r="O245" s="53" t="s">
        <v>279</v>
      </c>
    </row>
    <row r="246" spans="1:16" x14ac:dyDescent="0.25">
      <c r="A246" s="8" t="s">
        <v>281</v>
      </c>
      <c r="B246" s="53">
        <v>140</v>
      </c>
      <c r="C246" s="53">
        <v>6.5</v>
      </c>
      <c r="D246" s="53">
        <f t="shared" si="2"/>
        <v>21.53846153846154</v>
      </c>
      <c r="E246" s="53">
        <v>440</v>
      </c>
      <c r="F246" s="53">
        <v>3.1428571428571428</v>
      </c>
      <c r="G246" s="53">
        <v>600</v>
      </c>
      <c r="H246" s="54">
        <f>(G246-20)/30+120</f>
        <v>139.33333333333334</v>
      </c>
      <c r="I246" s="53">
        <v>77800</v>
      </c>
      <c r="J246" s="70" t="s">
        <v>21</v>
      </c>
      <c r="K246" s="53">
        <v>924</v>
      </c>
      <c r="L246" s="53">
        <v>63</v>
      </c>
      <c r="M246" s="53">
        <v>4310</v>
      </c>
      <c r="N246" s="56">
        <v>1.03283009825066</v>
      </c>
      <c r="O246" s="53" t="s">
        <v>279</v>
      </c>
    </row>
    <row r="247" spans="1:16" x14ac:dyDescent="0.25">
      <c r="A247" s="8" t="s">
        <v>282</v>
      </c>
      <c r="B247" s="53">
        <v>140</v>
      </c>
      <c r="C247" s="53">
        <v>6.5</v>
      </c>
      <c r="D247" s="53">
        <f t="shared" si="2"/>
        <v>21.53846153846154</v>
      </c>
      <c r="E247" s="53">
        <v>440</v>
      </c>
      <c r="F247" s="53">
        <v>3.1428571428571428</v>
      </c>
      <c r="G247" s="53">
        <v>800</v>
      </c>
      <c r="H247" s="54">
        <f>(G247-20)/30+120</f>
        <v>146</v>
      </c>
      <c r="I247" s="53">
        <v>106400</v>
      </c>
      <c r="J247" s="70" t="s">
        <v>21</v>
      </c>
      <c r="K247" s="53">
        <v>924</v>
      </c>
      <c r="L247" s="53">
        <v>63</v>
      </c>
      <c r="M247" s="53">
        <v>1876</v>
      </c>
      <c r="N247" s="56">
        <v>0.449556673855739</v>
      </c>
      <c r="O247" s="53" t="s">
        <v>279</v>
      </c>
    </row>
    <row r="248" spans="1:16" x14ac:dyDescent="0.25">
      <c r="A248" s="8" t="s">
        <v>283</v>
      </c>
      <c r="B248" s="50">
        <v>140</v>
      </c>
      <c r="C248" s="50">
        <v>6.5</v>
      </c>
      <c r="D248" s="50">
        <f t="shared" si="2"/>
        <v>21.53846153846154</v>
      </c>
      <c r="E248" s="50">
        <v>440</v>
      </c>
      <c r="F248" s="50">
        <v>3.1428571428571428</v>
      </c>
      <c r="G248" s="50">
        <v>20</v>
      </c>
      <c r="H248" s="51">
        <v>0</v>
      </c>
      <c r="I248" s="50">
        <v>0</v>
      </c>
      <c r="J248" s="52" t="s">
        <v>16</v>
      </c>
      <c r="K248" s="50">
        <v>924</v>
      </c>
      <c r="L248" s="50">
        <v>102</v>
      </c>
      <c r="M248" s="50">
        <v>4834</v>
      </c>
      <c r="N248" s="101">
        <v>1</v>
      </c>
      <c r="O248" s="53" t="s">
        <v>279</v>
      </c>
    </row>
    <row r="249" spans="1:16" x14ac:dyDescent="0.25">
      <c r="A249" s="8" t="s">
        <v>284</v>
      </c>
      <c r="B249" s="53">
        <v>140</v>
      </c>
      <c r="C249" s="53">
        <v>6.5</v>
      </c>
      <c r="D249" s="53">
        <f t="shared" si="2"/>
        <v>21.53846153846154</v>
      </c>
      <c r="E249" s="53">
        <v>440</v>
      </c>
      <c r="F249" s="53">
        <v>3.1428571428571428</v>
      </c>
      <c r="G249" s="53">
        <v>600</v>
      </c>
      <c r="H249" s="54">
        <f>(G249-20)/30+120</f>
        <v>139.33333333333334</v>
      </c>
      <c r="I249" s="53">
        <v>77800</v>
      </c>
      <c r="J249" s="70" t="s">
        <v>21</v>
      </c>
      <c r="K249" s="53">
        <v>924</v>
      </c>
      <c r="L249" s="53">
        <v>102</v>
      </c>
      <c r="M249" s="53">
        <v>5080</v>
      </c>
      <c r="N249" s="56">
        <v>1.0508895324782801</v>
      </c>
      <c r="O249" s="53" t="s">
        <v>279</v>
      </c>
    </row>
    <row r="250" spans="1:16" x14ac:dyDescent="0.25">
      <c r="A250" s="8" t="s">
        <v>285</v>
      </c>
      <c r="B250" s="53">
        <v>140</v>
      </c>
      <c r="C250" s="53">
        <v>6.5</v>
      </c>
      <c r="D250" s="53">
        <f t="shared" si="2"/>
        <v>21.53846153846154</v>
      </c>
      <c r="E250" s="53">
        <v>440</v>
      </c>
      <c r="F250" s="53">
        <v>3.1428571428571428</v>
      </c>
      <c r="G250" s="53">
        <v>800</v>
      </c>
      <c r="H250" s="54">
        <f>(G250-20)/30+120</f>
        <v>146</v>
      </c>
      <c r="I250" s="53">
        <v>106400</v>
      </c>
      <c r="J250" s="70" t="s">
        <v>21</v>
      </c>
      <c r="K250" s="53">
        <v>924</v>
      </c>
      <c r="L250" s="53">
        <v>102</v>
      </c>
      <c r="M250" s="53">
        <v>1970</v>
      </c>
      <c r="N250" s="56">
        <v>0.40752999586263999</v>
      </c>
      <c r="O250" s="53" t="s">
        <v>279</v>
      </c>
    </row>
    <row r="251" spans="1:16" x14ac:dyDescent="0.25">
      <c r="A251" s="8" t="s">
        <v>286</v>
      </c>
      <c r="B251" s="30">
        <v>219</v>
      </c>
      <c r="C251" s="30">
        <v>6.08</v>
      </c>
      <c r="D251" s="30">
        <f t="array" ref="D251:D277">B251:B277/C251:C277</f>
        <v>36.01973684210526</v>
      </c>
      <c r="E251" s="30">
        <v>657</v>
      </c>
      <c r="F251" s="30">
        <v>3</v>
      </c>
      <c r="G251" s="30">
        <v>20</v>
      </c>
      <c r="H251" s="29">
        <v>0</v>
      </c>
      <c r="I251" s="30">
        <v>0</v>
      </c>
      <c r="J251" s="31" t="s">
        <v>16</v>
      </c>
      <c r="K251" s="30">
        <v>395.7</v>
      </c>
      <c r="L251" s="30">
        <v>58.5</v>
      </c>
      <c r="M251" s="30">
        <v>4045.8</v>
      </c>
      <c r="N251" s="100">
        <v>1</v>
      </c>
      <c r="O251" s="32" t="s">
        <v>287</v>
      </c>
      <c r="P251" s="92"/>
    </row>
    <row r="252" spans="1:16" x14ac:dyDescent="0.25">
      <c r="A252" s="8" t="s">
        <v>288</v>
      </c>
      <c r="B252" s="30">
        <v>220</v>
      </c>
      <c r="C252" s="30">
        <v>6.05</v>
      </c>
      <c r="D252" s="30">
        <v>36.363636363636367</v>
      </c>
      <c r="E252" s="30">
        <v>657</v>
      </c>
      <c r="F252" s="30">
        <v>2.9863636363636363</v>
      </c>
      <c r="G252" s="30">
        <v>20</v>
      </c>
      <c r="H252" s="29">
        <v>0</v>
      </c>
      <c r="I252" s="30">
        <v>0</v>
      </c>
      <c r="J252" s="31" t="s">
        <v>16</v>
      </c>
      <c r="K252" s="30">
        <v>395.7</v>
      </c>
      <c r="L252" s="30">
        <v>58.5</v>
      </c>
      <c r="M252" s="30">
        <v>3971.9</v>
      </c>
      <c r="N252" s="100">
        <v>1</v>
      </c>
      <c r="O252" s="32" t="s">
        <v>287</v>
      </c>
      <c r="P252" s="92"/>
    </row>
    <row r="253" spans="1:16" x14ac:dyDescent="0.25">
      <c r="A253" s="8" t="s">
        <v>289</v>
      </c>
      <c r="B253" s="30">
        <v>219</v>
      </c>
      <c r="C253" s="30">
        <v>6.07</v>
      </c>
      <c r="D253" s="30">
        <v>36.079077429983521</v>
      </c>
      <c r="E253" s="30">
        <v>657</v>
      </c>
      <c r="F253" s="30">
        <v>3</v>
      </c>
      <c r="G253" s="30">
        <v>20</v>
      </c>
      <c r="H253" s="29">
        <v>0</v>
      </c>
      <c r="I253" s="30">
        <v>0</v>
      </c>
      <c r="J253" s="31" t="s">
        <v>16</v>
      </c>
      <c r="K253" s="30">
        <v>395.7</v>
      </c>
      <c r="L253" s="30">
        <v>58.5</v>
      </c>
      <c r="M253" s="30">
        <v>3959.2</v>
      </c>
      <c r="N253" s="100">
        <v>1</v>
      </c>
      <c r="O253" s="32" t="s">
        <v>287</v>
      </c>
      <c r="P253" s="92"/>
    </row>
    <row r="254" spans="1:16" x14ac:dyDescent="0.25">
      <c r="A254" s="8" t="s">
        <v>290</v>
      </c>
      <c r="B254" s="32">
        <v>220</v>
      </c>
      <c r="C254" s="32">
        <v>6.4</v>
      </c>
      <c r="D254" s="32">
        <v>34.375</v>
      </c>
      <c r="E254" s="32">
        <v>657</v>
      </c>
      <c r="F254" s="32">
        <v>2.9863636363636363</v>
      </c>
      <c r="G254" s="32">
        <v>902</v>
      </c>
      <c r="H254" s="32">
        <v>45</v>
      </c>
      <c r="I254" s="32">
        <v>33973</v>
      </c>
      <c r="J254" s="35" t="s">
        <v>21</v>
      </c>
      <c r="K254" s="32">
        <v>395.7</v>
      </c>
      <c r="L254" s="32">
        <v>58.5</v>
      </c>
      <c r="M254" s="32">
        <v>3512.3</v>
      </c>
      <c r="N254" s="49">
        <v>0.86813485589994599</v>
      </c>
      <c r="O254" s="32" t="s">
        <v>287</v>
      </c>
      <c r="P254" s="92"/>
    </row>
    <row r="255" spans="1:16" x14ac:dyDescent="0.25">
      <c r="A255" s="8" t="s">
        <v>291</v>
      </c>
      <c r="B255" s="32">
        <v>217.5</v>
      </c>
      <c r="C255" s="32">
        <v>6.1</v>
      </c>
      <c r="D255" s="32">
        <v>35.655737704918032</v>
      </c>
      <c r="E255" s="32">
        <v>657</v>
      </c>
      <c r="F255" s="32">
        <v>3.0206896551724136</v>
      </c>
      <c r="G255" s="32">
        <v>902</v>
      </c>
      <c r="H255" s="32">
        <v>45</v>
      </c>
      <c r="I255" s="32">
        <v>33973</v>
      </c>
      <c r="J255" s="35" t="s">
        <v>21</v>
      </c>
      <c r="K255" s="32">
        <v>395.7</v>
      </c>
      <c r="L255" s="32">
        <v>58.5</v>
      </c>
      <c r="M255" s="32">
        <v>3752</v>
      </c>
      <c r="N255" s="49">
        <v>0.94463606838037195</v>
      </c>
      <c r="O255" s="32" t="s">
        <v>287</v>
      </c>
      <c r="P255" s="92"/>
    </row>
    <row r="256" spans="1:16" x14ac:dyDescent="0.25">
      <c r="A256" s="8" t="s">
        <v>292</v>
      </c>
      <c r="B256" s="32">
        <v>218</v>
      </c>
      <c r="C256" s="32">
        <v>5.8</v>
      </c>
      <c r="D256" s="32">
        <v>37.586206896551722</v>
      </c>
      <c r="E256" s="32">
        <v>657</v>
      </c>
      <c r="F256" s="32">
        <v>3.0137614678899083</v>
      </c>
      <c r="G256" s="32">
        <v>902</v>
      </c>
      <c r="H256" s="32">
        <v>45</v>
      </c>
      <c r="I256" s="32">
        <v>33973</v>
      </c>
      <c r="J256" s="35" t="s">
        <v>21</v>
      </c>
      <c r="K256" s="32">
        <v>395.7</v>
      </c>
      <c r="L256" s="32">
        <v>58.5</v>
      </c>
      <c r="M256" s="32">
        <v>3742</v>
      </c>
      <c r="N256" s="49">
        <v>0.94514043241058798</v>
      </c>
      <c r="O256" s="32" t="s">
        <v>287</v>
      </c>
      <c r="P256" s="92"/>
    </row>
    <row r="257" spans="1:16" x14ac:dyDescent="0.25">
      <c r="A257" s="8" t="s">
        <v>293</v>
      </c>
      <c r="B257" s="32">
        <v>219</v>
      </c>
      <c r="C257" s="32">
        <v>6.05</v>
      </c>
      <c r="D257" s="32">
        <v>36.198347107438018</v>
      </c>
      <c r="E257" s="32">
        <v>657</v>
      </c>
      <c r="F257" s="32">
        <v>3</v>
      </c>
      <c r="G257" s="32">
        <v>1006</v>
      </c>
      <c r="H257" s="32">
        <v>90</v>
      </c>
      <c r="I257" s="32">
        <v>77177</v>
      </c>
      <c r="J257" s="35" t="s">
        <v>21</v>
      </c>
      <c r="K257" s="32">
        <v>395.7</v>
      </c>
      <c r="L257" s="32">
        <v>58.5</v>
      </c>
      <c r="M257" s="32">
        <v>2411.1999999999998</v>
      </c>
      <c r="N257" s="49">
        <v>0.59597607395323504</v>
      </c>
      <c r="O257" s="32" t="s">
        <v>287</v>
      </c>
      <c r="P257" s="92"/>
    </row>
    <row r="258" spans="1:16" x14ac:dyDescent="0.25">
      <c r="A258" s="8" t="s">
        <v>294</v>
      </c>
      <c r="B258" s="32">
        <v>218</v>
      </c>
      <c r="C258" s="32">
        <v>6.11</v>
      </c>
      <c r="D258" s="32">
        <v>35.679214402618655</v>
      </c>
      <c r="E258" s="32">
        <v>657</v>
      </c>
      <c r="F258" s="32">
        <v>3.0137614678899083</v>
      </c>
      <c r="G258" s="32">
        <v>1006</v>
      </c>
      <c r="H258" s="32">
        <v>90</v>
      </c>
      <c r="I258" s="32">
        <v>77177</v>
      </c>
      <c r="J258" s="35" t="s">
        <v>21</v>
      </c>
      <c r="K258" s="32">
        <v>395.7</v>
      </c>
      <c r="L258" s="32">
        <v>58.5</v>
      </c>
      <c r="M258" s="32">
        <v>2098.6999999999998</v>
      </c>
      <c r="N258" s="49">
        <v>0.52838691809964999</v>
      </c>
      <c r="O258" s="32" t="s">
        <v>287</v>
      </c>
      <c r="P258" s="92"/>
    </row>
    <row r="259" spans="1:16" x14ac:dyDescent="0.25">
      <c r="A259" s="8" t="s">
        <v>295</v>
      </c>
      <c r="B259" s="32">
        <v>219.5</v>
      </c>
      <c r="C259" s="32">
        <v>5.88</v>
      </c>
      <c r="D259" s="32">
        <v>37.329931972789119</v>
      </c>
      <c r="E259" s="32">
        <v>657</v>
      </c>
      <c r="F259" s="32">
        <v>2.9931662870159452</v>
      </c>
      <c r="G259" s="32">
        <v>1006</v>
      </c>
      <c r="H259" s="32">
        <v>90</v>
      </c>
      <c r="I259" s="32">
        <v>77177</v>
      </c>
      <c r="J259" s="35" t="s">
        <v>21</v>
      </c>
      <c r="K259" s="32">
        <v>395.7</v>
      </c>
      <c r="L259" s="32">
        <v>58.5</v>
      </c>
      <c r="M259" s="32">
        <v>2617.1</v>
      </c>
      <c r="N259" s="49">
        <v>0.66101737724792897</v>
      </c>
      <c r="O259" s="32" t="s">
        <v>287</v>
      </c>
      <c r="P259" s="92"/>
    </row>
    <row r="260" spans="1:16" x14ac:dyDescent="0.25">
      <c r="A260" s="8" t="s">
        <v>296</v>
      </c>
      <c r="B260" s="30">
        <v>219</v>
      </c>
      <c r="C260" s="30">
        <v>6.16</v>
      </c>
      <c r="D260" s="30">
        <v>35.551948051948052</v>
      </c>
      <c r="E260" s="30">
        <v>657</v>
      </c>
      <c r="F260" s="30">
        <v>3</v>
      </c>
      <c r="G260" s="30">
        <v>20</v>
      </c>
      <c r="H260" s="29">
        <v>0</v>
      </c>
      <c r="I260" s="30">
        <v>0</v>
      </c>
      <c r="J260" s="31" t="s">
        <v>16</v>
      </c>
      <c r="K260" s="30">
        <v>830</v>
      </c>
      <c r="L260" s="30">
        <v>85.1</v>
      </c>
      <c r="M260" s="30">
        <v>7703.9</v>
      </c>
      <c r="N260" s="100">
        <v>1</v>
      </c>
      <c r="O260" s="32" t="s">
        <v>287</v>
      </c>
      <c r="P260" s="92"/>
    </row>
    <row r="261" spans="1:16" x14ac:dyDescent="0.25">
      <c r="A261" s="8" t="s">
        <v>297</v>
      </c>
      <c r="B261" s="30">
        <v>218.67</v>
      </c>
      <c r="C261" s="30">
        <v>6.27</v>
      </c>
      <c r="D261" s="30">
        <v>34.875598086124405</v>
      </c>
      <c r="E261" s="30">
        <v>657</v>
      </c>
      <c r="F261" s="30">
        <v>3.0045273700096038</v>
      </c>
      <c r="G261" s="30">
        <v>20</v>
      </c>
      <c r="H261" s="29">
        <v>0</v>
      </c>
      <c r="I261" s="30">
        <v>0</v>
      </c>
      <c r="J261" s="31" t="s">
        <v>16</v>
      </c>
      <c r="K261" s="30">
        <v>830</v>
      </c>
      <c r="L261" s="30">
        <v>85.1</v>
      </c>
      <c r="M261" s="30">
        <v>7668</v>
      </c>
      <c r="N261" s="100">
        <v>1</v>
      </c>
      <c r="O261" s="32" t="s">
        <v>287</v>
      </c>
      <c r="P261" s="92"/>
    </row>
    <row r="262" spans="1:16" x14ac:dyDescent="0.25">
      <c r="A262" s="8" t="s">
        <v>298</v>
      </c>
      <c r="B262" s="30">
        <v>218.67</v>
      </c>
      <c r="C262" s="30">
        <v>6.11</v>
      </c>
      <c r="D262" s="30">
        <v>35.788870703764317</v>
      </c>
      <c r="E262" s="30">
        <v>657</v>
      </c>
      <c r="F262" s="30">
        <v>3.0045273700096038</v>
      </c>
      <c r="G262" s="30">
        <v>20</v>
      </c>
      <c r="H262" s="29">
        <v>0</v>
      </c>
      <c r="I262" s="30">
        <v>0</v>
      </c>
      <c r="J262" s="31" t="s">
        <v>16</v>
      </c>
      <c r="K262" s="30">
        <v>830</v>
      </c>
      <c r="L262" s="30">
        <v>85.1</v>
      </c>
      <c r="M262" s="30">
        <v>7468.1</v>
      </c>
      <c r="N262" s="100">
        <v>1</v>
      </c>
      <c r="O262" s="32" t="s">
        <v>287</v>
      </c>
      <c r="P262" s="92"/>
    </row>
    <row r="263" spans="1:16" x14ac:dyDescent="0.25">
      <c r="A263" s="8" t="s">
        <v>299</v>
      </c>
      <c r="B263" s="32">
        <v>218.67</v>
      </c>
      <c r="C263" s="32">
        <v>6.01</v>
      </c>
      <c r="D263" s="32">
        <v>36.384359400998335</v>
      </c>
      <c r="E263" s="32">
        <v>657</v>
      </c>
      <c r="F263" s="32">
        <v>3.0045273700096038</v>
      </c>
      <c r="G263" s="32">
        <v>902</v>
      </c>
      <c r="H263" s="32">
        <v>45</v>
      </c>
      <c r="I263" s="32">
        <v>33973</v>
      </c>
      <c r="J263" s="35" t="s">
        <v>21</v>
      </c>
      <c r="K263" s="32">
        <v>830</v>
      </c>
      <c r="L263" s="32">
        <v>85.1</v>
      </c>
      <c r="M263" s="32">
        <v>3615</v>
      </c>
      <c r="N263" s="49">
        <v>0.46924285102350799</v>
      </c>
      <c r="O263" s="32" t="s">
        <v>287</v>
      </c>
      <c r="P263" s="92"/>
    </row>
    <row r="264" spans="1:16" x14ac:dyDescent="0.25">
      <c r="A264" s="8" t="s">
        <v>300</v>
      </c>
      <c r="B264" s="32">
        <v>218.67</v>
      </c>
      <c r="C264" s="32">
        <v>6.16</v>
      </c>
      <c r="D264" s="32">
        <v>35.498376623376622</v>
      </c>
      <c r="E264" s="32">
        <v>657</v>
      </c>
      <c r="F264" s="32">
        <v>3.0045273700096038</v>
      </c>
      <c r="G264" s="32">
        <v>902</v>
      </c>
      <c r="H264" s="32">
        <v>45</v>
      </c>
      <c r="I264" s="32">
        <v>33973</v>
      </c>
      <c r="J264" s="35" t="s">
        <v>21</v>
      </c>
      <c r="K264" s="32">
        <v>830</v>
      </c>
      <c r="L264" s="32">
        <v>85.1</v>
      </c>
      <c r="M264" s="32">
        <v>4912</v>
      </c>
      <c r="N264" s="49">
        <v>0.64058424621804899</v>
      </c>
      <c r="O264" s="32" t="s">
        <v>287</v>
      </c>
      <c r="P264" s="92"/>
    </row>
    <row r="265" spans="1:16" x14ac:dyDescent="0.25">
      <c r="A265" s="8" t="s">
        <v>301</v>
      </c>
      <c r="B265" s="32">
        <v>219</v>
      </c>
      <c r="C265" s="32">
        <v>6.28</v>
      </c>
      <c r="D265" s="32">
        <v>34.872611464968152</v>
      </c>
      <c r="E265" s="32">
        <v>657</v>
      </c>
      <c r="F265" s="32">
        <v>3</v>
      </c>
      <c r="G265" s="32">
        <v>902</v>
      </c>
      <c r="H265" s="32">
        <v>45</v>
      </c>
      <c r="I265" s="32">
        <v>33973</v>
      </c>
      <c r="J265" s="35" t="s">
        <v>21</v>
      </c>
      <c r="K265" s="32">
        <v>830</v>
      </c>
      <c r="L265" s="32">
        <v>85.1</v>
      </c>
      <c r="M265" s="32">
        <v>4390.8999999999996</v>
      </c>
      <c r="N265" s="49">
        <v>0.58795409809723997</v>
      </c>
      <c r="O265" s="32" t="s">
        <v>287</v>
      </c>
      <c r="P265" s="92"/>
    </row>
    <row r="266" spans="1:16" x14ac:dyDescent="0.25">
      <c r="A266" s="8" t="s">
        <v>302</v>
      </c>
      <c r="B266" s="32">
        <v>220</v>
      </c>
      <c r="C266" s="32">
        <v>6.15</v>
      </c>
      <c r="D266" s="32">
        <v>35.772357723577237</v>
      </c>
      <c r="E266" s="32">
        <v>657</v>
      </c>
      <c r="F266" s="32">
        <v>2.9863636363636363</v>
      </c>
      <c r="G266" s="32">
        <v>1006</v>
      </c>
      <c r="H266" s="32">
        <v>90</v>
      </c>
      <c r="I266" s="32">
        <v>77177</v>
      </c>
      <c r="J266" s="35" t="s">
        <v>21</v>
      </c>
      <c r="K266" s="32">
        <v>830</v>
      </c>
      <c r="L266" s="32">
        <v>85.1</v>
      </c>
      <c r="M266" s="32">
        <v>3851.8</v>
      </c>
      <c r="N266" s="49">
        <v>0.49998052934228099</v>
      </c>
      <c r="O266" s="32" t="s">
        <v>287</v>
      </c>
      <c r="P266" s="92"/>
    </row>
    <row r="267" spans="1:16" x14ac:dyDescent="0.25">
      <c r="A267" s="8" t="s">
        <v>303</v>
      </c>
      <c r="B267" s="32">
        <v>221</v>
      </c>
      <c r="C267" s="32">
        <v>5.85</v>
      </c>
      <c r="D267" s="32">
        <v>37.777777777777779</v>
      </c>
      <c r="E267" s="32">
        <v>657</v>
      </c>
      <c r="F267" s="32">
        <v>2.9728506787330318</v>
      </c>
      <c r="G267" s="32">
        <v>1006</v>
      </c>
      <c r="H267" s="32">
        <v>90</v>
      </c>
      <c r="I267" s="32">
        <v>77177</v>
      </c>
      <c r="J267" s="35" t="s">
        <v>21</v>
      </c>
      <c r="K267" s="32">
        <v>830</v>
      </c>
      <c r="L267" s="32">
        <v>85.1</v>
      </c>
      <c r="M267" s="32">
        <v>3964.2</v>
      </c>
      <c r="N267" s="49">
        <v>0.51697965571204996</v>
      </c>
      <c r="O267" s="32" t="s">
        <v>287</v>
      </c>
      <c r="P267" s="92"/>
    </row>
    <row r="268" spans="1:16" x14ac:dyDescent="0.25">
      <c r="A268" s="8" t="s">
        <v>304</v>
      </c>
      <c r="B268" s="32">
        <v>218.67</v>
      </c>
      <c r="C268" s="32">
        <v>6.03</v>
      </c>
      <c r="D268" s="32">
        <v>36.263681592039795</v>
      </c>
      <c r="E268" s="32">
        <v>657</v>
      </c>
      <c r="F268" s="32">
        <v>3.0045273700096038</v>
      </c>
      <c r="G268" s="32">
        <v>1006</v>
      </c>
      <c r="H268" s="32">
        <v>90</v>
      </c>
      <c r="I268" s="32">
        <v>77177</v>
      </c>
      <c r="J268" s="35" t="s">
        <v>21</v>
      </c>
      <c r="K268" s="32">
        <v>830</v>
      </c>
      <c r="L268" s="32">
        <v>85.1</v>
      </c>
      <c r="M268" s="32">
        <v>3902.1</v>
      </c>
      <c r="N268" s="49">
        <v>0.52250237677588696</v>
      </c>
      <c r="O268" s="32" t="s">
        <v>287</v>
      </c>
      <c r="P268" s="92"/>
    </row>
    <row r="269" spans="1:16" x14ac:dyDescent="0.25">
      <c r="A269" s="8" t="s">
        <v>305</v>
      </c>
      <c r="B269" s="30">
        <v>218</v>
      </c>
      <c r="C269" s="30">
        <v>8.32</v>
      </c>
      <c r="D269" s="30">
        <v>26.201923076923077</v>
      </c>
      <c r="E269" s="30">
        <v>657</v>
      </c>
      <c r="F269" s="30">
        <v>3.0137614678899083</v>
      </c>
      <c r="G269" s="30">
        <v>20</v>
      </c>
      <c r="H269" s="29">
        <v>0</v>
      </c>
      <c r="I269" s="30">
        <v>0</v>
      </c>
      <c r="J269" s="31" t="s">
        <v>16</v>
      </c>
      <c r="K269" s="30">
        <v>596</v>
      </c>
      <c r="L269" s="30">
        <v>85.1</v>
      </c>
      <c r="M269" s="30">
        <v>8771.4</v>
      </c>
      <c r="N269" s="100">
        <v>1</v>
      </c>
      <c r="O269" s="32" t="s">
        <v>287</v>
      </c>
      <c r="P269" s="92"/>
    </row>
    <row r="270" spans="1:16" x14ac:dyDescent="0.25">
      <c r="A270" s="8" t="s">
        <v>306</v>
      </c>
      <c r="B270" s="30">
        <v>217.5</v>
      </c>
      <c r="C270" s="30">
        <v>8.25</v>
      </c>
      <c r="D270" s="30">
        <v>26.363636363636363</v>
      </c>
      <c r="E270" s="30">
        <v>657</v>
      </c>
      <c r="F270" s="30">
        <v>3.0206896551724136</v>
      </c>
      <c r="G270" s="30">
        <v>20</v>
      </c>
      <c r="H270" s="29">
        <v>0</v>
      </c>
      <c r="I270" s="30">
        <v>0</v>
      </c>
      <c r="J270" s="31" t="s">
        <v>16</v>
      </c>
      <c r="K270" s="30">
        <v>596</v>
      </c>
      <c r="L270" s="30">
        <v>85.1</v>
      </c>
      <c r="M270" s="30">
        <v>7821.2</v>
      </c>
      <c r="N270" s="100">
        <v>1</v>
      </c>
      <c r="O270" s="32" t="s">
        <v>287</v>
      </c>
      <c r="P270" s="92"/>
    </row>
    <row r="271" spans="1:16" x14ac:dyDescent="0.25">
      <c r="A271" s="8" t="s">
        <v>307</v>
      </c>
      <c r="B271" s="30">
        <v>218.5</v>
      </c>
      <c r="C271" s="30">
        <v>8.4700000000000006</v>
      </c>
      <c r="D271" s="30">
        <v>25.796930342384886</v>
      </c>
      <c r="E271" s="30">
        <v>657</v>
      </c>
      <c r="F271" s="30">
        <v>3.0068649885583523</v>
      </c>
      <c r="G271" s="30">
        <v>20</v>
      </c>
      <c r="H271" s="29">
        <v>0</v>
      </c>
      <c r="I271" s="30">
        <v>0</v>
      </c>
      <c r="J271" s="31" t="s">
        <v>16</v>
      </c>
      <c r="K271" s="30">
        <v>596</v>
      </c>
      <c r="L271" s="30">
        <v>85.1</v>
      </c>
      <c r="M271" s="30">
        <v>7991.9</v>
      </c>
      <c r="N271" s="100">
        <v>1</v>
      </c>
      <c r="O271" s="32" t="s">
        <v>287</v>
      </c>
      <c r="P271" s="92"/>
    </row>
    <row r="272" spans="1:16" x14ac:dyDescent="0.25">
      <c r="A272" s="8" t="s">
        <v>308</v>
      </c>
      <c r="B272" s="32">
        <v>217.67</v>
      </c>
      <c r="C272" s="32">
        <v>8.15</v>
      </c>
      <c r="D272" s="32">
        <v>26.707975460122697</v>
      </c>
      <c r="E272" s="32">
        <v>657</v>
      </c>
      <c r="F272" s="32">
        <v>3.0183305002986174</v>
      </c>
      <c r="G272" s="32">
        <v>902</v>
      </c>
      <c r="H272" s="32">
        <v>45</v>
      </c>
      <c r="I272" s="32">
        <v>33973</v>
      </c>
      <c r="J272" s="35" t="s">
        <v>21</v>
      </c>
      <c r="K272" s="32">
        <v>596</v>
      </c>
      <c r="L272" s="32">
        <v>85.1</v>
      </c>
      <c r="M272" s="32">
        <v>5442</v>
      </c>
      <c r="N272" s="49">
        <v>0.62042547369861101</v>
      </c>
      <c r="O272" s="32" t="s">
        <v>287</v>
      </c>
      <c r="P272" s="92"/>
    </row>
    <row r="273" spans="1:16" x14ac:dyDescent="0.25">
      <c r="A273" s="8" t="s">
        <v>309</v>
      </c>
      <c r="B273" s="32">
        <v>218.33</v>
      </c>
      <c r="C273" s="32">
        <v>8.1300000000000008</v>
      </c>
      <c r="D273" s="32">
        <v>26.854858548585486</v>
      </c>
      <c r="E273" s="32">
        <v>657</v>
      </c>
      <c r="F273" s="32">
        <v>3.0092062474236245</v>
      </c>
      <c r="G273" s="32">
        <v>902</v>
      </c>
      <c r="H273" s="32">
        <v>45</v>
      </c>
      <c r="I273" s="32">
        <v>33973</v>
      </c>
      <c r="J273" s="35" t="s">
        <v>21</v>
      </c>
      <c r="K273" s="32">
        <v>596</v>
      </c>
      <c r="L273" s="32">
        <v>85.1</v>
      </c>
      <c r="M273" s="32">
        <v>5088</v>
      </c>
      <c r="N273" s="49">
        <v>0.65053955914693395</v>
      </c>
      <c r="O273" s="32" t="s">
        <v>287</v>
      </c>
      <c r="P273" s="92"/>
    </row>
    <row r="274" spans="1:16" x14ac:dyDescent="0.25">
      <c r="A274" s="8" t="s">
        <v>310</v>
      </c>
      <c r="B274" s="32">
        <v>218</v>
      </c>
      <c r="C274" s="32">
        <v>8.1199999999999992</v>
      </c>
      <c r="D274" s="32">
        <v>26.847290640394093</v>
      </c>
      <c r="E274" s="32">
        <v>657</v>
      </c>
      <c r="F274" s="32">
        <v>3.0137614678899083</v>
      </c>
      <c r="G274" s="32">
        <v>902</v>
      </c>
      <c r="H274" s="32">
        <v>45</v>
      </c>
      <c r="I274" s="32">
        <v>33973</v>
      </c>
      <c r="J274" s="35" t="s">
        <v>21</v>
      </c>
      <c r="K274" s="32">
        <v>596</v>
      </c>
      <c r="L274" s="32">
        <v>85.1</v>
      </c>
      <c r="M274" s="32">
        <v>5791.3</v>
      </c>
      <c r="N274" s="49">
        <v>0.72464620428183502</v>
      </c>
      <c r="O274" s="32" t="s">
        <v>287</v>
      </c>
      <c r="P274" s="92"/>
    </row>
    <row r="275" spans="1:16" x14ac:dyDescent="0.25">
      <c r="A275" s="8" t="s">
        <v>311</v>
      </c>
      <c r="B275" s="32">
        <v>218</v>
      </c>
      <c r="C275" s="32">
        <v>7.95</v>
      </c>
      <c r="D275" s="32">
        <v>27.421383647798741</v>
      </c>
      <c r="E275" s="32">
        <v>657</v>
      </c>
      <c r="F275" s="32">
        <v>3.0137614678899083</v>
      </c>
      <c r="G275" s="32">
        <v>1006</v>
      </c>
      <c r="H275" s="32">
        <v>90</v>
      </c>
      <c r="I275" s="32">
        <v>77177</v>
      </c>
      <c r="J275" s="35" t="s">
        <v>21</v>
      </c>
      <c r="K275" s="32">
        <v>596</v>
      </c>
      <c r="L275" s="32">
        <v>85.1</v>
      </c>
      <c r="M275" s="32">
        <v>4191.3999999999996</v>
      </c>
      <c r="N275" s="49">
        <v>0.47784846204710801</v>
      </c>
      <c r="O275" s="32" t="s">
        <v>287</v>
      </c>
      <c r="P275" s="92"/>
    </row>
    <row r="276" spans="1:16" x14ac:dyDescent="0.25">
      <c r="A276" s="8" t="s">
        <v>312</v>
      </c>
      <c r="B276" s="32">
        <v>218</v>
      </c>
      <c r="C276" s="32">
        <v>7.75</v>
      </c>
      <c r="D276" s="32">
        <v>28.129032258064516</v>
      </c>
      <c r="E276" s="32">
        <v>657</v>
      </c>
      <c r="F276" s="32">
        <v>3.0137614678899083</v>
      </c>
      <c r="G276" s="32">
        <v>1006</v>
      </c>
      <c r="H276" s="32">
        <v>90</v>
      </c>
      <c r="I276" s="32">
        <v>77177</v>
      </c>
      <c r="J276" s="35" t="s">
        <v>21</v>
      </c>
      <c r="K276" s="32">
        <v>596</v>
      </c>
      <c r="L276" s="32">
        <v>85.1</v>
      </c>
      <c r="M276" s="32">
        <v>4480.2</v>
      </c>
      <c r="N276" s="49">
        <v>0.57282769907431097</v>
      </c>
      <c r="O276" s="32" t="s">
        <v>287</v>
      </c>
      <c r="P276" s="92"/>
    </row>
    <row r="277" spans="1:16" x14ac:dyDescent="0.25">
      <c r="A277" s="8" t="s">
        <v>313</v>
      </c>
      <c r="B277" s="32">
        <v>219</v>
      </c>
      <c r="C277" s="32">
        <v>8.6</v>
      </c>
      <c r="D277" s="32">
        <v>25.465116279069768</v>
      </c>
      <c r="E277" s="32">
        <v>657</v>
      </c>
      <c r="F277" s="32">
        <v>3</v>
      </c>
      <c r="G277" s="32">
        <v>1006</v>
      </c>
      <c r="H277" s="32">
        <v>90</v>
      </c>
      <c r="I277" s="32">
        <v>77177</v>
      </c>
      <c r="J277" s="35" t="s">
        <v>21</v>
      </c>
      <c r="K277" s="32">
        <v>596</v>
      </c>
      <c r="L277" s="32">
        <v>85.1</v>
      </c>
      <c r="M277" s="32">
        <v>4354.6000000000004</v>
      </c>
      <c r="N277" s="49">
        <v>0.54487668764624198</v>
      </c>
      <c r="O277" s="32" t="s">
        <v>287</v>
      </c>
      <c r="P277" s="92"/>
    </row>
    <row r="278" spans="1:16" x14ac:dyDescent="0.25">
      <c r="A278" s="8" t="s">
        <v>314</v>
      </c>
      <c r="B278" s="57">
        <v>127.58</v>
      </c>
      <c r="C278" s="57">
        <v>2.9</v>
      </c>
      <c r="D278" s="57">
        <f t="array" ref="D278:D289">B278:B289/C278:C289</f>
        <v>43.993103448275861</v>
      </c>
      <c r="E278" s="57">
        <v>380.8</v>
      </c>
      <c r="F278" s="57">
        <f t="array" ref="F278:F289">E278:E289/B278:B289</f>
        <v>2.9847938548361812</v>
      </c>
      <c r="G278" s="57">
        <v>20</v>
      </c>
      <c r="H278" s="58">
        <v>0</v>
      </c>
      <c r="I278" s="57">
        <v>0</v>
      </c>
      <c r="J278" s="59" t="s">
        <v>16</v>
      </c>
      <c r="K278" s="57">
        <v>298.10000000000002</v>
      </c>
      <c r="L278" s="57">
        <v>48.2</v>
      </c>
      <c r="M278" s="57">
        <v>1095.0999999999999</v>
      </c>
      <c r="N278" s="102">
        <v>1</v>
      </c>
      <c r="O278" s="60" t="s">
        <v>315</v>
      </c>
      <c r="P278" s="92"/>
    </row>
    <row r="279" spans="1:16" x14ac:dyDescent="0.25">
      <c r="A279" s="8" t="s">
        <v>316</v>
      </c>
      <c r="B279" s="60">
        <v>127.64</v>
      </c>
      <c r="C279" s="60">
        <v>2.84</v>
      </c>
      <c r="D279" s="60">
        <v>44.943661971830991</v>
      </c>
      <c r="E279" s="60">
        <v>381.2</v>
      </c>
      <c r="F279" s="60">
        <v>2.986524600438734</v>
      </c>
      <c r="G279" s="60">
        <v>650</v>
      </c>
      <c r="H279" s="60">
        <v>15</v>
      </c>
      <c r="I279" s="60">
        <v>6200</v>
      </c>
      <c r="J279" s="62" t="s">
        <v>21</v>
      </c>
      <c r="K279" s="60">
        <v>298.10000000000002</v>
      </c>
      <c r="L279" s="60">
        <v>48.2</v>
      </c>
      <c r="M279" s="60">
        <v>1203.3</v>
      </c>
      <c r="N279" s="63">
        <v>1.0988037622135001</v>
      </c>
      <c r="O279" s="60" t="s">
        <v>315</v>
      </c>
      <c r="P279" s="92"/>
    </row>
    <row r="280" spans="1:16" x14ac:dyDescent="0.25">
      <c r="A280" s="8" t="s">
        <v>317</v>
      </c>
      <c r="B280" s="60">
        <v>127.5</v>
      </c>
      <c r="C280" s="60">
        <v>2.98</v>
      </c>
      <c r="D280" s="60">
        <v>42.785234899328856</v>
      </c>
      <c r="E280" s="60">
        <v>383</v>
      </c>
      <c r="F280" s="60">
        <v>3.003921568627451</v>
      </c>
      <c r="G280" s="60">
        <v>790</v>
      </c>
      <c r="H280" s="60">
        <v>30</v>
      </c>
      <c r="I280" s="60">
        <v>19100</v>
      </c>
      <c r="J280" s="62" t="s">
        <v>21</v>
      </c>
      <c r="K280" s="60">
        <v>298.10000000000002</v>
      </c>
      <c r="L280" s="60">
        <v>48.2</v>
      </c>
      <c r="M280" s="60">
        <v>1174.5999999999999</v>
      </c>
      <c r="N280" s="63">
        <v>1.0725961099443</v>
      </c>
      <c r="O280" s="60" t="s">
        <v>315</v>
      </c>
      <c r="P280" s="92"/>
    </row>
    <row r="281" spans="1:16" x14ac:dyDescent="0.25">
      <c r="A281" s="8" t="s">
        <v>318</v>
      </c>
      <c r="B281" s="60">
        <v>127.64</v>
      </c>
      <c r="C281" s="60">
        <v>2.8</v>
      </c>
      <c r="D281" s="60">
        <v>45.585714285714289</v>
      </c>
      <c r="E281" s="60">
        <v>381.3</v>
      </c>
      <c r="F281" s="60">
        <v>2.9873080539015984</v>
      </c>
      <c r="G281" s="60">
        <v>830</v>
      </c>
      <c r="H281" s="60">
        <v>45</v>
      </c>
      <c r="I281" s="60">
        <v>25500</v>
      </c>
      <c r="J281" s="62" t="s">
        <v>21</v>
      </c>
      <c r="K281" s="60">
        <v>298.10000000000002</v>
      </c>
      <c r="L281" s="60">
        <v>48.2</v>
      </c>
      <c r="M281" s="60">
        <v>946.8</v>
      </c>
      <c r="N281" s="63">
        <v>0.86457857729887699</v>
      </c>
      <c r="O281" s="60" t="s">
        <v>315</v>
      </c>
      <c r="P281" s="92"/>
    </row>
    <row r="282" spans="1:16" x14ac:dyDescent="0.25">
      <c r="A282" s="8" t="s">
        <v>319</v>
      </c>
      <c r="B282" s="57">
        <v>127.07</v>
      </c>
      <c r="C282" s="57">
        <v>2.92</v>
      </c>
      <c r="D282" s="57">
        <v>43.517123287671232</v>
      </c>
      <c r="E282" s="57">
        <v>380.7</v>
      </c>
      <c r="F282" s="57">
        <v>2.9959864641536162</v>
      </c>
      <c r="G282" s="57">
        <v>20</v>
      </c>
      <c r="H282" s="58">
        <v>0</v>
      </c>
      <c r="I282" s="57">
        <v>0</v>
      </c>
      <c r="J282" s="59" t="s">
        <v>16</v>
      </c>
      <c r="K282" s="57">
        <v>298.10000000000002</v>
      </c>
      <c r="L282" s="57">
        <v>42.5</v>
      </c>
      <c r="M282" s="57">
        <v>1020.8</v>
      </c>
      <c r="N282" s="102">
        <v>1</v>
      </c>
      <c r="O282" s="60" t="s">
        <v>315</v>
      </c>
      <c r="P282" s="92"/>
    </row>
    <row r="283" spans="1:16" x14ac:dyDescent="0.25">
      <c r="A283" s="8" t="s">
        <v>320</v>
      </c>
      <c r="B283" s="60">
        <v>127.5</v>
      </c>
      <c r="C283" s="60">
        <v>2.83</v>
      </c>
      <c r="D283" s="60">
        <v>45.053003533568905</v>
      </c>
      <c r="E283" s="60">
        <v>382.4</v>
      </c>
      <c r="F283" s="60">
        <v>2.9992156862745096</v>
      </c>
      <c r="G283" s="60">
        <v>650</v>
      </c>
      <c r="H283" s="60">
        <v>15</v>
      </c>
      <c r="I283" s="60">
        <v>6200</v>
      </c>
      <c r="J283" s="62" t="s">
        <v>21</v>
      </c>
      <c r="K283" s="60">
        <v>298.10000000000002</v>
      </c>
      <c r="L283" s="60">
        <v>42.5</v>
      </c>
      <c r="M283" s="60">
        <v>1128.7</v>
      </c>
      <c r="N283" s="63">
        <v>1.1057014106583101</v>
      </c>
      <c r="O283" s="60" t="s">
        <v>315</v>
      </c>
      <c r="P283" s="92"/>
    </row>
    <row r="284" spans="1:16" x14ac:dyDescent="0.25">
      <c r="A284" s="8" t="s">
        <v>321</v>
      </c>
      <c r="B284" s="60">
        <v>127.54</v>
      </c>
      <c r="C284" s="60">
        <v>3</v>
      </c>
      <c r="D284" s="60">
        <v>42.513333333333335</v>
      </c>
      <c r="E284" s="60">
        <v>381.6</v>
      </c>
      <c r="F284" s="60">
        <v>2.9920025090167792</v>
      </c>
      <c r="G284" s="60">
        <v>790</v>
      </c>
      <c r="H284" s="60">
        <v>30</v>
      </c>
      <c r="I284" s="60">
        <v>19100</v>
      </c>
      <c r="J284" s="62" t="s">
        <v>21</v>
      </c>
      <c r="K284" s="60">
        <v>298.10000000000002</v>
      </c>
      <c r="L284" s="60">
        <v>42.5</v>
      </c>
      <c r="M284" s="60">
        <v>1046.8</v>
      </c>
      <c r="N284" s="63">
        <v>1.0254702194357399</v>
      </c>
      <c r="O284" s="60" t="s">
        <v>315</v>
      </c>
      <c r="P284" s="92"/>
    </row>
    <row r="285" spans="1:16" x14ac:dyDescent="0.25">
      <c r="A285" s="8" t="s">
        <v>322</v>
      </c>
      <c r="B285" s="60">
        <v>127.44</v>
      </c>
      <c r="C285" s="60">
        <v>2.99</v>
      </c>
      <c r="D285" s="60">
        <v>42.622073578595312</v>
      </c>
      <c r="E285" s="60">
        <v>382.2</v>
      </c>
      <c r="F285" s="60">
        <v>2.9990583804143127</v>
      </c>
      <c r="G285" s="60">
        <v>830</v>
      </c>
      <c r="H285" s="60">
        <v>45</v>
      </c>
      <c r="I285" s="60">
        <v>25500</v>
      </c>
      <c r="J285" s="62" t="s">
        <v>21</v>
      </c>
      <c r="K285" s="60">
        <v>298.10000000000002</v>
      </c>
      <c r="L285" s="60">
        <v>42.5</v>
      </c>
      <c r="M285" s="60">
        <v>907.7</v>
      </c>
      <c r="N285" s="63">
        <v>0.88920454545454597</v>
      </c>
      <c r="O285" s="60" t="s">
        <v>315</v>
      </c>
      <c r="P285" s="92"/>
    </row>
    <row r="286" spans="1:16" x14ac:dyDescent="0.25">
      <c r="A286" s="8" t="s">
        <v>323</v>
      </c>
      <c r="B286" s="57">
        <v>127.75</v>
      </c>
      <c r="C286" s="57">
        <v>3</v>
      </c>
      <c r="D286" s="57">
        <v>42.583333333333336</v>
      </c>
      <c r="E286" s="57">
        <v>380.9</v>
      </c>
      <c r="F286" s="57">
        <v>2.9816046966731897</v>
      </c>
      <c r="G286" s="57">
        <v>20</v>
      </c>
      <c r="H286" s="58">
        <v>0</v>
      </c>
      <c r="I286" s="57">
        <v>0</v>
      </c>
      <c r="J286" s="59" t="s">
        <v>16</v>
      </c>
      <c r="K286" s="57">
        <v>298.10000000000002</v>
      </c>
      <c r="L286" s="57">
        <v>34.700000000000003</v>
      </c>
      <c r="M286" s="57">
        <v>984.2</v>
      </c>
      <c r="N286" s="102">
        <v>1</v>
      </c>
      <c r="O286" s="60" t="s">
        <v>315</v>
      </c>
      <c r="P286" s="92"/>
    </row>
    <row r="287" spans="1:16" x14ac:dyDescent="0.25">
      <c r="A287" s="8" t="s">
        <v>324</v>
      </c>
      <c r="B287" s="60">
        <v>127.41</v>
      </c>
      <c r="C287" s="60">
        <v>2.83</v>
      </c>
      <c r="D287" s="60">
        <v>45.021201413427562</v>
      </c>
      <c r="E287" s="60">
        <v>383.3</v>
      </c>
      <c r="F287" s="60">
        <v>3.0083980849226908</v>
      </c>
      <c r="G287" s="60">
        <v>650</v>
      </c>
      <c r="H287" s="60">
        <v>15</v>
      </c>
      <c r="I287" s="60">
        <v>6200</v>
      </c>
      <c r="J287" s="62" t="s">
        <v>21</v>
      </c>
      <c r="K287" s="60">
        <v>298.10000000000002</v>
      </c>
      <c r="L287" s="60">
        <v>34.700000000000003</v>
      </c>
      <c r="M287" s="60">
        <v>1080.5</v>
      </c>
      <c r="N287" s="63">
        <v>1.0978459662670199</v>
      </c>
      <c r="O287" s="60" t="s">
        <v>315</v>
      </c>
      <c r="P287" s="92"/>
    </row>
    <row r="288" spans="1:16" x14ac:dyDescent="0.25">
      <c r="A288" s="8" t="s">
        <v>325</v>
      </c>
      <c r="B288" s="60">
        <v>127.45</v>
      </c>
      <c r="C288" s="60">
        <v>3.11</v>
      </c>
      <c r="D288" s="60">
        <v>40.980707395498392</v>
      </c>
      <c r="E288" s="60">
        <v>380.5</v>
      </c>
      <c r="F288" s="60">
        <v>2.9854845037269517</v>
      </c>
      <c r="G288" s="60">
        <v>790</v>
      </c>
      <c r="H288" s="60">
        <v>30</v>
      </c>
      <c r="I288" s="60">
        <v>19100</v>
      </c>
      <c r="J288" s="62" t="s">
        <v>21</v>
      </c>
      <c r="K288" s="60">
        <v>298.10000000000002</v>
      </c>
      <c r="L288" s="60">
        <v>34.700000000000003</v>
      </c>
      <c r="M288" s="60">
        <v>987.7</v>
      </c>
      <c r="N288" s="63">
        <v>1.0035561877667101</v>
      </c>
      <c r="O288" s="60" t="s">
        <v>315</v>
      </c>
      <c r="P288" s="92"/>
    </row>
    <row r="289" spans="1:16" x14ac:dyDescent="0.25">
      <c r="A289" s="8" t="s">
        <v>326</v>
      </c>
      <c r="B289" s="60">
        <v>127.48</v>
      </c>
      <c r="C289" s="60">
        <v>3.1</v>
      </c>
      <c r="D289" s="60">
        <v>41.122580645161293</v>
      </c>
      <c r="E289" s="60">
        <v>381.7</v>
      </c>
      <c r="F289" s="60">
        <v>2.9941951678694694</v>
      </c>
      <c r="G289" s="60">
        <v>830</v>
      </c>
      <c r="H289" s="60">
        <v>45</v>
      </c>
      <c r="I289" s="60">
        <v>25500</v>
      </c>
      <c r="J289" s="62" t="s">
        <v>21</v>
      </c>
      <c r="K289" s="60">
        <v>298.10000000000002</v>
      </c>
      <c r="L289" s="60">
        <v>34.700000000000003</v>
      </c>
      <c r="M289" s="60">
        <v>838.4</v>
      </c>
      <c r="N289" s="63">
        <v>0.85185937817516799</v>
      </c>
      <c r="O289" s="60" t="s">
        <v>315</v>
      </c>
      <c r="P289" s="92"/>
    </row>
    <row r="290" spans="1:16" x14ac:dyDescent="0.25">
      <c r="A290" s="8" t="s">
        <v>327</v>
      </c>
      <c r="B290" s="50">
        <v>72.8</v>
      </c>
      <c r="C290" s="50">
        <v>2.81</v>
      </c>
      <c r="D290" s="50">
        <f t="shared" ref="D290:D353" si="3">B290/C290</f>
        <v>25.907473309608541</v>
      </c>
      <c r="E290" s="50">
        <v>216</v>
      </c>
      <c r="F290" s="50">
        <f t="shared" ref="F290:F353" si="4">E290/B290</f>
        <v>2.9670329670329672</v>
      </c>
      <c r="G290" s="50">
        <v>20</v>
      </c>
      <c r="H290" s="51">
        <v>0</v>
      </c>
      <c r="I290" s="50">
        <v>0</v>
      </c>
      <c r="J290" s="52" t="s">
        <v>16</v>
      </c>
      <c r="K290" s="50">
        <v>296</v>
      </c>
      <c r="L290" s="50">
        <v>93.8</v>
      </c>
      <c r="M290" s="50">
        <v>561</v>
      </c>
      <c r="N290" s="101">
        <v>1</v>
      </c>
      <c r="O290" s="91" t="s">
        <v>495</v>
      </c>
    </row>
    <row r="291" spans="1:16" ht="28.8" customHeight="1" x14ac:dyDescent="0.25">
      <c r="A291" s="8" t="s">
        <v>328</v>
      </c>
      <c r="B291" s="53">
        <v>73.099999999999994</v>
      </c>
      <c r="C291" s="53">
        <v>2.79</v>
      </c>
      <c r="D291" s="53">
        <f t="shared" si="3"/>
        <v>26.200716845878134</v>
      </c>
      <c r="E291" s="53">
        <v>215</v>
      </c>
      <c r="F291" s="53">
        <f t="shared" si="4"/>
        <v>2.9411764705882355</v>
      </c>
      <c r="G291" s="53">
        <v>739</v>
      </c>
      <c r="H291" s="53">
        <v>15</v>
      </c>
      <c r="I291" s="53">
        <v>8921</v>
      </c>
      <c r="J291" s="70" t="s">
        <v>21</v>
      </c>
      <c r="K291" s="53">
        <v>296</v>
      </c>
      <c r="L291" s="53">
        <v>93.8</v>
      </c>
      <c r="M291" s="53">
        <v>554</v>
      </c>
      <c r="N291" s="56">
        <v>0.98752228163992894</v>
      </c>
      <c r="O291" s="91" t="s">
        <v>495</v>
      </c>
    </row>
    <row r="292" spans="1:16" ht="28.8" customHeight="1" x14ac:dyDescent="0.25">
      <c r="A292" s="8" t="s">
        <v>329</v>
      </c>
      <c r="B292" s="53">
        <v>73.099999999999994</v>
      </c>
      <c r="C292" s="53">
        <v>2.83</v>
      </c>
      <c r="D292" s="53">
        <f t="shared" si="3"/>
        <v>25.830388692579504</v>
      </c>
      <c r="E292" s="53">
        <v>216</v>
      </c>
      <c r="F292" s="53">
        <f t="shared" si="4"/>
        <v>2.954856361149111</v>
      </c>
      <c r="G292" s="53">
        <v>842</v>
      </c>
      <c r="H292" s="53">
        <v>30</v>
      </c>
      <c r="I292" s="53">
        <v>20862</v>
      </c>
      <c r="J292" s="70" t="s">
        <v>21</v>
      </c>
      <c r="K292" s="53">
        <v>296</v>
      </c>
      <c r="L292" s="53">
        <v>93.8</v>
      </c>
      <c r="M292" s="53">
        <v>596</v>
      </c>
      <c r="N292" s="56">
        <v>1.0623885918003599</v>
      </c>
      <c r="O292" s="91" t="s">
        <v>495</v>
      </c>
    </row>
    <row r="293" spans="1:16" ht="28.8" customHeight="1" x14ac:dyDescent="0.25">
      <c r="A293" s="8" t="s">
        <v>330</v>
      </c>
      <c r="B293" s="53">
        <v>72.7</v>
      </c>
      <c r="C293" s="53">
        <v>2.83</v>
      </c>
      <c r="D293" s="53">
        <f t="shared" si="3"/>
        <v>25.689045936395761</v>
      </c>
      <c r="E293" s="53">
        <v>215</v>
      </c>
      <c r="F293" s="53">
        <f t="shared" si="4"/>
        <v>2.9573590096286106</v>
      </c>
      <c r="G293" s="53">
        <v>902</v>
      </c>
      <c r="H293" s="53">
        <v>45</v>
      </c>
      <c r="I293" s="53">
        <v>33973</v>
      </c>
      <c r="J293" s="70" t="s">
        <v>21</v>
      </c>
      <c r="K293" s="53">
        <v>296</v>
      </c>
      <c r="L293" s="53">
        <v>93.8</v>
      </c>
      <c r="M293" s="53">
        <v>485</v>
      </c>
      <c r="N293" s="56">
        <v>0.86452762923351201</v>
      </c>
      <c r="O293" s="91" t="s">
        <v>495</v>
      </c>
    </row>
    <row r="294" spans="1:16" x14ac:dyDescent="0.25">
      <c r="A294" s="8" t="s">
        <v>331</v>
      </c>
      <c r="B294" s="50">
        <v>72.8</v>
      </c>
      <c r="C294" s="50">
        <v>2.8</v>
      </c>
      <c r="D294" s="50">
        <f t="shared" si="3"/>
        <v>26</v>
      </c>
      <c r="E294" s="50">
        <v>217</v>
      </c>
      <c r="F294" s="50">
        <f t="shared" si="4"/>
        <v>2.9807692307692308</v>
      </c>
      <c r="G294" s="50">
        <v>20</v>
      </c>
      <c r="H294" s="51">
        <v>0</v>
      </c>
      <c r="I294" s="50">
        <v>0</v>
      </c>
      <c r="J294" s="52" t="s">
        <v>16</v>
      </c>
      <c r="K294" s="50">
        <v>296</v>
      </c>
      <c r="L294" s="50">
        <v>144.4</v>
      </c>
      <c r="M294" s="50">
        <v>739</v>
      </c>
      <c r="N294" s="101">
        <v>1</v>
      </c>
      <c r="O294" s="91" t="s">
        <v>495</v>
      </c>
    </row>
    <row r="295" spans="1:16" ht="28.8" customHeight="1" x14ac:dyDescent="0.25">
      <c r="A295" s="8" t="s">
        <v>332</v>
      </c>
      <c r="B295" s="53">
        <v>72.7</v>
      </c>
      <c r="C295" s="53">
        <v>2.8</v>
      </c>
      <c r="D295" s="53">
        <f t="shared" si="3"/>
        <v>25.964285714285715</v>
      </c>
      <c r="E295" s="53">
        <v>216</v>
      </c>
      <c r="F295" s="53">
        <f t="shared" si="4"/>
        <v>2.9711141678129298</v>
      </c>
      <c r="G295" s="53">
        <v>739</v>
      </c>
      <c r="H295" s="53">
        <v>15</v>
      </c>
      <c r="I295" s="53">
        <v>8921</v>
      </c>
      <c r="J295" s="70" t="s">
        <v>21</v>
      </c>
      <c r="K295" s="53">
        <v>296</v>
      </c>
      <c r="L295" s="53">
        <v>144.4</v>
      </c>
      <c r="M295" s="53">
        <v>792</v>
      </c>
      <c r="N295" s="56">
        <v>1.07171853856563</v>
      </c>
      <c r="O295" s="91" t="s">
        <v>495</v>
      </c>
    </row>
    <row r="296" spans="1:16" ht="28.8" customHeight="1" x14ac:dyDescent="0.25">
      <c r="A296" s="8" t="s">
        <v>333</v>
      </c>
      <c r="B296" s="53">
        <v>72.8</v>
      </c>
      <c r="C296" s="53">
        <v>2.8</v>
      </c>
      <c r="D296" s="53">
        <f t="shared" si="3"/>
        <v>26</v>
      </c>
      <c r="E296" s="53">
        <v>221</v>
      </c>
      <c r="F296" s="53">
        <f t="shared" si="4"/>
        <v>3.035714285714286</v>
      </c>
      <c r="G296" s="53">
        <v>842</v>
      </c>
      <c r="H296" s="53">
        <v>30</v>
      </c>
      <c r="I296" s="53">
        <v>20862</v>
      </c>
      <c r="J296" s="70" t="s">
        <v>21</v>
      </c>
      <c r="K296" s="53">
        <v>296</v>
      </c>
      <c r="L296" s="53">
        <v>144.4</v>
      </c>
      <c r="M296" s="53">
        <v>624</v>
      </c>
      <c r="N296" s="56">
        <v>0.84438430311231405</v>
      </c>
      <c r="O296" s="91" t="s">
        <v>495</v>
      </c>
    </row>
    <row r="297" spans="1:16" ht="28.8" customHeight="1" x14ac:dyDescent="0.25">
      <c r="A297" s="8" t="s">
        <v>334</v>
      </c>
      <c r="B297" s="53">
        <v>72.599999999999994</v>
      </c>
      <c r="C297" s="53">
        <v>2.82</v>
      </c>
      <c r="D297" s="53">
        <f t="shared" si="3"/>
        <v>25.74468085106383</v>
      </c>
      <c r="E297" s="53">
        <v>216</v>
      </c>
      <c r="F297" s="53">
        <f t="shared" si="4"/>
        <v>2.9752066115702482</v>
      </c>
      <c r="G297" s="53">
        <v>902</v>
      </c>
      <c r="H297" s="53">
        <v>45</v>
      </c>
      <c r="I297" s="53">
        <v>33973</v>
      </c>
      <c r="J297" s="70" t="s">
        <v>21</v>
      </c>
      <c r="K297" s="53">
        <v>296</v>
      </c>
      <c r="L297" s="53">
        <v>144.4</v>
      </c>
      <c r="M297" s="53">
        <v>501</v>
      </c>
      <c r="N297" s="56">
        <v>0.67794316644113695</v>
      </c>
      <c r="O297" s="91" t="s">
        <v>495</v>
      </c>
    </row>
    <row r="298" spans="1:16" x14ac:dyDescent="0.25">
      <c r="A298" s="8" t="s">
        <v>335</v>
      </c>
      <c r="B298" s="50">
        <v>89.3</v>
      </c>
      <c r="C298" s="50">
        <v>2.82</v>
      </c>
      <c r="D298" s="50">
        <f t="shared" si="3"/>
        <v>31.666666666666668</v>
      </c>
      <c r="E298" s="50">
        <v>267</v>
      </c>
      <c r="F298" s="50">
        <f t="shared" si="4"/>
        <v>2.9899216125419934</v>
      </c>
      <c r="G298" s="50">
        <v>20</v>
      </c>
      <c r="H298" s="51">
        <v>0</v>
      </c>
      <c r="I298" s="50">
        <v>0</v>
      </c>
      <c r="J298" s="52" t="s">
        <v>16</v>
      </c>
      <c r="K298" s="50">
        <v>292</v>
      </c>
      <c r="L298" s="50">
        <v>93.8</v>
      </c>
      <c r="M298" s="50">
        <v>924</v>
      </c>
      <c r="N298" s="101">
        <v>1</v>
      </c>
      <c r="O298" s="91" t="s">
        <v>495</v>
      </c>
    </row>
    <row r="299" spans="1:16" ht="28.8" customHeight="1" x14ac:dyDescent="0.25">
      <c r="A299" s="8" t="s">
        <v>336</v>
      </c>
      <c r="B299" s="53">
        <v>88.9</v>
      </c>
      <c r="C299" s="53">
        <v>2.83</v>
      </c>
      <c r="D299" s="53">
        <f t="shared" si="3"/>
        <v>31.413427561837459</v>
      </c>
      <c r="E299" s="53">
        <v>270</v>
      </c>
      <c r="F299" s="53">
        <f t="shared" si="4"/>
        <v>3.0371203599550056</v>
      </c>
      <c r="G299" s="53">
        <v>739</v>
      </c>
      <c r="H299" s="53">
        <v>15</v>
      </c>
      <c r="I299" s="53">
        <v>8921</v>
      </c>
      <c r="J299" s="70" t="s">
        <v>21</v>
      </c>
      <c r="K299" s="53">
        <v>292</v>
      </c>
      <c r="L299" s="53">
        <v>93.8</v>
      </c>
      <c r="M299" s="53">
        <v>836</v>
      </c>
      <c r="N299" s="56">
        <v>0.90476190476190499</v>
      </c>
      <c r="O299" s="91" t="s">
        <v>495</v>
      </c>
    </row>
    <row r="300" spans="1:16" ht="28.8" customHeight="1" x14ac:dyDescent="0.25">
      <c r="A300" s="8" t="s">
        <v>337</v>
      </c>
      <c r="B300" s="53">
        <v>88.6</v>
      </c>
      <c r="C300" s="53">
        <v>2.79</v>
      </c>
      <c r="D300" s="53">
        <f t="shared" si="3"/>
        <v>31.756272401433691</v>
      </c>
      <c r="E300" s="53">
        <v>268</v>
      </c>
      <c r="F300" s="53">
        <f t="shared" si="4"/>
        <v>3.0248306997742667</v>
      </c>
      <c r="G300" s="53">
        <v>842</v>
      </c>
      <c r="H300" s="53">
        <v>30</v>
      </c>
      <c r="I300" s="53">
        <v>20862</v>
      </c>
      <c r="J300" s="70" t="s">
        <v>21</v>
      </c>
      <c r="K300" s="53">
        <v>292</v>
      </c>
      <c r="L300" s="53">
        <v>93.8</v>
      </c>
      <c r="M300" s="53">
        <v>763</v>
      </c>
      <c r="N300" s="56">
        <v>0.82575757575757602</v>
      </c>
      <c r="O300" s="91" t="s">
        <v>495</v>
      </c>
    </row>
    <row r="301" spans="1:16" ht="28.8" customHeight="1" x14ac:dyDescent="0.25">
      <c r="A301" s="8" t="s">
        <v>338</v>
      </c>
      <c r="B301" s="53">
        <v>88.9</v>
      </c>
      <c r="C301" s="53">
        <v>2.79</v>
      </c>
      <c r="D301" s="53">
        <f t="shared" si="3"/>
        <v>31.863799283154123</v>
      </c>
      <c r="E301" s="53">
        <v>266</v>
      </c>
      <c r="F301" s="53">
        <f t="shared" si="4"/>
        <v>2.9921259842519685</v>
      </c>
      <c r="G301" s="53">
        <v>902</v>
      </c>
      <c r="H301" s="53">
        <v>45</v>
      </c>
      <c r="I301" s="53">
        <v>33973</v>
      </c>
      <c r="J301" s="70" t="s">
        <v>21</v>
      </c>
      <c r="K301" s="53">
        <v>292</v>
      </c>
      <c r="L301" s="53">
        <v>93.8</v>
      </c>
      <c r="M301" s="53">
        <v>656</v>
      </c>
      <c r="N301" s="56">
        <v>0.70995670995671001</v>
      </c>
      <c r="O301" s="91" t="s">
        <v>495</v>
      </c>
    </row>
    <row r="302" spans="1:16" x14ac:dyDescent="0.25">
      <c r="A302" s="8" t="s">
        <v>339</v>
      </c>
      <c r="B302" s="50">
        <v>89.3</v>
      </c>
      <c r="C302" s="50">
        <v>2.83</v>
      </c>
      <c r="D302" s="50">
        <f t="shared" si="3"/>
        <v>31.554770318021198</v>
      </c>
      <c r="E302" s="50">
        <v>267</v>
      </c>
      <c r="F302" s="50">
        <f t="shared" si="4"/>
        <v>2.9899216125419934</v>
      </c>
      <c r="G302" s="50">
        <v>20</v>
      </c>
      <c r="H302" s="51">
        <v>0</v>
      </c>
      <c r="I302" s="50">
        <v>0</v>
      </c>
      <c r="J302" s="52" t="s">
        <v>16</v>
      </c>
      <c r="K302" s="50">
        <v>292</v>
      </c>
      <c r="L302" s="50">
        <v>144.4</v>
      </c>
      <c r="M302" s="50">
        <v>1072</v>
      </c>
      <c r="N302" s="101">
        <v>1</v>
      </c>
      <c r="O302" s="91" t="s">
        <v>495</v>
      </c>
    </row>
    <row r="303" spans="1:16" ht="28.8" customHeight="1" x14ac:dyDescent="0.25">
      <c r="A303" s="8" t="s">
        <v>340</v>
      </c>
      <c r="B303" s="53">
        <v>88.9</v>
      </c>
      <c r="C303" s="53">
        <v>2.82</v>
      </c>
      <c r="D303" s="53">
        <f t="shared" si="3"/>
        <v>31.524822695035464</v>
      </c>
      <c r="E303" s="53">
        <v>270</v>
      </c>
      <c r="F303" s="53">
        <f t="shared" si="4"/>
        <v>3.0371203599550056</v>
      </c>
      <c r="G303" s="53">
        <v>739</v>
      </c>
      <c r="H303" s="53">
        <v>15</v>
      </c>
      <c r="I303" s="53">
        <v>8921</v>
      </c>
      <c r="J303" s="70" t="s">
        <v>21</v>
      </c>
      <c r="K303" s="53">
        <v>292</v>
      </c>
      <c r="L303" s="53">
        <v>144.4</v>
      </c>
      <c r="M303" s="53">
        <v>816</v>
      </c>
      <c r="N303" s="56">
        <v>0.76119402985074602</v>
      </c>
      <c r="O303" s="91" t="s">
        <v>495</v>
      </c>
    </row>
    <row r="304" spans="1:16" ht="28.8" customHeight="1" x14ac:dyDescent="0.25">
      <c r="A304" s="8" t="s">
        <v>341</v>
      </c>
      <c r="B304" s="53">
        <v>89.3</v>
      </c>
      <c r="C304" s="53">
        <v>2.84</v>
      </c>
      <c r="D304" s="53">
        <f t="shared" si="3"/>
        <v>31.443661971830988</v>
      </c>
      <c r="E304" s="53">
        <v>268</v>
      </c>
      <c r="F304" s="53">
        <f t="shared" si="4"/>
        <v>3.0011198208286674</v>
      </c>
      <c r="G304" s="53">
        <v>842</v>
      </c>
      <c r="H304" s="53">
        <v>30</v>
      </c>
      <c r="I304" s="53">
        <v>20862</v>
      </c>
      <c r="J304" s="70" t="s">
        <v>21</v>
      </c>
      <c r="K304" s="53">
        <v>292</v>
      </c>
      <c r="L304" s="53">
        <v>144.4</v>
      </c>
      <c r="M304" s="53">
        <v>777</v>
      </c>
      <c r="N304" s="56">
        <v>0.724813432835821</v>
      </c>
      <c r="O304" s="91" t="s">
        <v>495</v>
      </c>
    </row>
    <row r="305" spans="1:15" ht="28.8" customHeight="1" x14ac:dyDescent="0.25">
      <c r="A305" s="8" t="s">
        <v>342</v>
      </c>
      <c r="B305" s="53">
        <v>88.9</v>
      </c>
      <c r="C305" s="53">
        <v>2.77</v>
      </c>
      <c r="D305" s="53">
        <f t="shared" si="3"/>
        <v>32.093862815884478</v>
      </c>
      <c r="E305" s="53">
        <v>268</v>
      </c>
      <c r="F305" s="53">
        <f t="shared" si="4"/>
        <v>3.0146231721034868</v>
      </c>
      <c r="G305" s="53">
        <v>902</v>
      </c>
      <c r="H305" s="53">
        <v>45</v>
      </c>
      <c r="I305" s="53">
        <v>33973</v>
      </c>
      <c r="J305" s="70" t="s">
        <v>21</v>
      </c>
      <c r="K305" s="53">
        <v>292</v>
      </c>
      <c r="L305" s="53">
        <v>144.4</v>
      </c>
      <c r="M305" s="53">
        <v>641</v>
      </c>
      <c r="N305" s="56">
        <v>0.59794776119403004</v>
      </c>
      <c r="O305" s="91" t="s">
        <v>495</v>
      </c>
    </row>
    <row r="306" spans="1:15" x14ac:dyDescent="0.25">
      <c r="A306" s="8" t="s">
        <v>343</v>
      </c>
      <c r="B306" s="39">
        <v>219.26</v>
      </c>
      <c r="C306" s="39">
        <v>8.19</v>
      </c>
      <c r="D306" s="39">
        <f t="shared" si="3"/>
        <v>26.771672771672772</v>
      </c>
      <c r="E306" s="39">
        <v>1990</v>
      </c>
      <c r="F306" s="39">
        <f t="shared" si="4"/>
        <v>9.075982851409286</v>
      </c>
      <c r="G306" s="39">
        <v>20</v>
      </c>
      <c r="H306" s="38">
        <v>0</v>
      </c>
      <c r="I306" s="39">
        <v>0</v>
      </c>
      <c r="J306" s="40" t="s">
        <v>16</v>
      </c>
      <c r="K306" s="39">
        <v>596</v>
      </c>
      <c r="L306" s="39">
        <v>81.5</v>
      </c>
      <c r="M306" s="39">
        <v>7194.7</v>
      </c>
      <c r="N306" s="103">
        <v>1</v>
      </c>
      <c r="O306" s="41" t="s">
        <v>344</v>
      </c>
    </row>
    <row r="307" spans="1:15" ht="43.2" customHeight="1" x14ac:dyDescent="0.25">
      <c r="A307" s="8" t="s">
        <v>345</v>
      </c>
      <c r="B307" s="41">
        <v>219.41</v>
      </c>
      <c r="C307" s="41">
        <v>7.88</v>
      </c>
      <c r="D307" s="41">
        <f t="shared" si="3"/>
        <v>27.843908629441625</v>
      </c>
      <c r="E307" s="41">
        <v>1990</v>
      </c>
      <c r="F307" s="41">
        <f t="shared" si="4"/>
        <v>9.0697780411102507</v>
      </c>
      <c r="G307" s="41">
        <v>902</v>
      </c>
      <c r="H307" s="41">
        <v>45</v>
      </c>
      <c r="I307" s="41">
        <v>33973</v>
      </c>
      <c r="J307" s="44" t="s">
        <v>21</v>
      </c>
      <c r="K307" s="41">
        <v>596</v>
      </c>
      <c r="L307" s="41">
        <v>81.5</v>
      </c>
      <c r="M307" s="41">
        <v>5217.7</v>
      </c>
      <c r="N307" s="65">
        <v>0.725214393928864</v>
      </c>
      <c r="O307" s="41" t="s">
        <v>344</v>
      </c>
    </row>
    <row r="308" spans="1:15" ht="43.2" customHeight="1" x14ac:dyDescent="0.25">
      <c r="A308" s="8" t="s">
        <v>346</v>
      </c>
      <c r="B308" s="41">
        <v>218.92</v>
      </c>
      <c r="C308" s="41">
        <v>8.16</v>
      </c>
      <c r="D308" s="41">
        <f t="shared" si="3"/>
        <v>26.828431372549019</v>
      </c>
      <c r="E308" s="41">
        <v>1990</v>
      </c>
      <c r="F308" s="41">
        <f t="shared" si="4"/>
        <v>9.0900785675132472</v>
      </c>
      <c r="G308" s="41">
        <v>1006</v>
      </c>
      <c r="H308" s="41">
        <v>90</v>
      </c>
      <c r="I308" s="41">
        <v>77177</v>
      </c>
      <c r="J308" s="44" t="s">
        <v>21</v>
      </c>
      <c r="K308" s="41">
        <v>596</v>
      </c>
      <c r="L308" s="41">
        <v>81.5</v>
      </c>
      <c r="M308" s="41">
        <v>3998.6</v>
      </c>
      <c r="N308" s="65">
        <v>0.55577021974509</v>
      </c>
      <c r="O308" s="41" t="s">
        <v>344</v>
      </c>
    </row>
    <row r="309" spans="1:15" x14ac:dyDescent="0.25">
      <c r="A309" s="8" t="s">
        <v>347</v>
      </c>
      <c r="B309" s="39">
        <v>219.11</v>
      </c>
      <c r="C309" s="39">
        <v>8.06</v>
      </c>
      <c r="D309" s="39">
        <f t="shared" si="3"/>
        <v>27.184863523573203</v>
      </c>
      <c r="E309" s="39">
        <v>2650</v>
      </c>
      <c r="F309" s="39">
        <f t="shared" si="4"/>
        <v>12.094381817352014</v>
      </c>
      <c r="G309" s="39">
        <v>20</v>
      </c>
      <c r="H309" s="38">
        <v>0</v>
      </c>
      <c r="I309" s="39">
        <v>0</v>
      </c>
      <c r="J309" s="40" t="s">
        <v>16</v>
      </c>
      <c r="K309" s="39">
        <v>596</v>
      </c>
      <c r="L309" s="39">
        <v>81.5</v>
      </c>
      <c r="M309" s="39">
        <v>6603.1</v>
      </c>
      <c r="N309" s="103">
        <v>1</v>
      </c>
      <c r="O309" s="41" t="s">
        <v>344</v>
      </c>
    </row>
    <row r="310" spans="1:15" ht="43.2" customHeight="1" x14ac:dyDescent="0.25">
      <c r="A310" s="8" t="s">
        <v>348</v>
      </c>
      <c r="B310" s="41">
        <v>218.75</v>
      </c>
      <c r="C310" s="41">
        <v>8.32</v>
      </c>
      <c r="D310" s="41">
        <f t="shared" si="3"/>
        <v>26.292067307692307</v>
      </c>
      <c r="E310" s="41">
        <v>2650</v>
      </c>
      <c r="F310" s="41">
        <f t="shared" si="4"/>
        <v>12.114285714285714</v>
      </c>
      <c r="G310" s="41">
        <v>902</v>
      </c>
      <c r="H310" s="41">
        <v>45</v>
      </c>
      <c r="I310" s="41">
        <v>33973</v>
      </c>
      <c r="J310" s="44" t="s">
        <v>21</v>
      </c>
      <c r="K310" s="41">
        <v>596</v>
      </c>
      <c r="L310" s="41">
        <v>81.5</v>
      </c>
      <c r="M310" s="41">
        <v>4450.8</v>
      </c>
      <c r="N310" s="65">
        <v>0.67404703851221404</v>
      </c>
      <c r="O310" s="41" t="s">
        <v>344</v>
      </c>
    </row>
    <row r="311" spans="1:15" ht="43.2" customHeight="1" x14ac:dyDescent="0.25">
      <c r="A311" s="8" t="s">
        <v>349</v>
      </c>
      <c r="B311" s="41">
        <v>218.81</v>
      </c>
      <c r="C311" s="41">
        <v>8.14</v>
      </c>
      <c r="D311" s="41">
        <f t="shared" si="3"/>
        <v>26.880835380835379</v>
      </c>
      <c r="E311" s="41">
        <v>2650</v>
      </c>
      <c r="F311" s="41">
        <f t="shared" si="4"/>
        <v>12.110963849915452</v>
      </c>
      <c r="G311" s="41">
        <v>1006</v>
      </c>
      <c r="H311" s="41">
        <v>90</v>
      </c>
      <c r="I311" s="41">
        <v>77177</v>
      </c>
      <c r="J311" s="44" t="s">
        <v>21</v>
      </c>
      <c r="K311" s="41">
        <v>596</v>
      </c>
      <c r="L311" s="41">
        <v>81.5</v>
      </c>
      <c r="M311" s="41">
        <v>3427.3</v>
      </c>
      <c r="N311" s="65">
        <v>0.51904408535384905</v>
      </c>
      <c r="O311" s="41" t="s">
        <v>344</v>
      </c>
    </row>
    <row r="312" spans="1:15" x14ac:dyDescent="0.25">
      <c r="A312" s="8" t="s">
        <v>350</v>
      </c>
      <c r="B312" s="39">
        <v>219.05</v>
      </c>
      <c r="C312" s="39">
        <v>6.21</v>
      </c>
      <c r="D312" s="39">
        <f t="shared" si="3"/>
        <v>35.273752012882447</v>
      </c>
      <c r="E312" s="39">
        <v>2650</v>
      </c>
      <c r="F312" s="39">
        <f t="shared" si="4"/>
        <v>12.097694590276191</v>
      </c>
      <c r="G312" s="39">
        <v>20</v>
      </c>
      <c r="H312" s="38">
        <v>0</v>
      </c>
      <c r="I312" s="39">
        <v>0</v>
      </c>
      <c r="J312" s="40" t="s">
        <v>16</v>
      </c>
      <c r="K312" s="39">
        <v>830</v>
      </c>
      <c r="L312" s="39">
        <v>81.5</v>
      </c>
      <c r="M312" s="39">
        <v>7190.2</v>
      </c>
      <c r="N312" s="103">
        <v>1</v>
      </c>
      <c r="O312" s="41" t="s">
        <v>344</v>
      </c>
    </row>
    <row r="313" spans="1:15" ht="43.2" customHeight="1" x14ac:dyDescent="0.25">
      <c r="A313" s="8" t="s">
        <v>351</v>
      </c>
      <c r="B313" s="41">
        <v>219.32</v>
      </c>
      <c r="C313" s="41">
        <v>6.3</v>
      </c>
      <c r="D313" s="41">
        <f t="shared" si="3"/>
        <v>34.81269841269841</v>
      </c>
      <c r="E313" s="41">
        <v>2650</v>
      </c>
      <c r="F313" s="41">
        <f t="shared" si="4"/>
        <v>12.082801386102499</v>
      </c>
      <c r="G313" s="41">
        <v>902</v>
      </c>
      <c r="H313" s="41">
        <v>45</v>
      </c>
      <c r="I313" s="41">
        <v>33973</v>
      </c>
      <c r="J313" s="44" t="s">
        <v>21</v>
      </c>
      <c r="K313" s="41">
        <v>830</v>
      </c>
      <c r="L313" s="41">
        <v>81.5</v>
      </c>
      <c r="M313" s="41">
        <v>3432.1</v>
      </c>
      <c r="N313" s="65">
        <v>0.47733025506940002</v>
      </c>
      <c r="O313" s="41" t="s">
        <v>344</v>
      </c>
    </row>
    <row r="314" spans="1:15" ht="43.2" customHeight="1" x14ac:dyDescent="0.25">
      <c r="A314" s="8" t="s">
        <v>352</v>
      </c>
      <c r="B314" s="41">
        <v>219.15</v>
      </c>
      <c r="C314" s="41">
        <v>6.08</v>
      </c>
      <c r="D314" s="41">
        <f t="shared" si="3"/>
        <v>36.044407894736842</v>
      </c>
      <c r="E314" s="41">
        <v>2650</v>
      </c>
      <c r="F314" s="41">
        <f t="shared" si="4"/>
        <v>12.092174309833448</v>
      </c>
      <c r="G314" s="41">
        <v>1006</v>
      </c>
      <c r="H314" s="41">
        <v>90</v>
      </c>
      <c r="I314" s="41">
        <v>77177</v>
      </c>
      <c r="J314" s="44" t="s">
        <v>21</v>
      </c>
      <c r="K314" s="41">
        <v>830</v>
      </c>
      <c r="L314" s="41">
        <v>81.5</v>
      </c>
      <c r="M314" s="41">
        <v>2116.3000000000002</v>
      </c>
      <c r="N314" s="65">
        <v>0.29433117298545303</v>
      </c>
      <c r="O314" s="41" t="s">
        <v>344</v>
      </c>
    </row>
    <row r="315" spans="1:15" x14ac:dyDescent="0.25">
      <c r="A315" s="8" t="s">
        <v>353</v>
      </c>
      <c r="B315" s="15">
        <v>120</v>
      </c>
      <c r="C315" s="15">
        <v>1</v>
      </c>
      <c r="D315" s="15">
        <f t="shared" si="3"/>
        <v>120</v>
      </c>
      <c r="E315" s="15">
        <v>360</v>
      </c>
      <c r="F315" s="15">
        <f t="shared" si="4"/>
        <v>3</v>
      </c>
      <c r="G315" s="15">
        <v>20</v>
      </c>
      <c r="H315" s="11">
        <v>0</v>
      </c>
      <c r="I315" s="15">
        <v>0</v>
      </c>
      <c r="J315" s="12" t="s">
        <v>16</v>
      </c>
      <c r="K315" s="15">
        <v>312.5</v>
      </c>
      <c r="L315" s="15">
        <v>21.8</v>
      </c>
      <c r="M315" s="15">
        <v>668.07</v>
      </c>
      <c r="N315" s="105">
        <v>1</v>
      </c>
      <c r="O315" s="13" t="s">
        <v>354</v>
      </c>
    </row>
    <row r="316" spans="1:15" x14ac:dyDescent="0.25">
      <c r="A316" s="8" t="s">
        <v>355</v>
      </c>
      <c r="B316" s="13">
        <v>120</v>
      </c>
      <c r="C316" s="13">
        <v>1</v>
      </c>
      <c r="D316" s="13">
        <f t="shared" si="3"/>
        <v>120</v>
      </c>
      <c r="E316" s="13">
        <v>360</v>
      </c>
      <c r="F316" s="13">
        <f t="shared" si="4"/>
        <v>3</v>
      </c>
      <c r="G316" s="13">
        <v>400</v>
      </c>
      <c r="H316" s="13">
        <v>68</v>
      </c>
      <c r="I316" s="13">
        <v>25600</v>
      </c>
      <c r="J316" s="46" t="s">
        <v>21</v>
      </c>
      <c r="K316" s="13">
        <v>312.5</v>
      </c>
      <c r="L316" s="13">
        <v>21.8</v>
      </c>
      <c r="M316" s="13">
        <v>649.53</v>
      </c>
      <c r="N316" s="16">
        <v>0.97224841708204202</v>
      </c>
      <c r="O316" s="13" t="s">
        <v>354</v>
      </c>
    </row>
    <row r="317" spans="1:15" x14ac:dyDescent="0.25">
      <c r="A317" s="8" t="s">
        <v>356</v>
      </c>
      <c r="B317" s="13">
        <v>120</v>
      </c>
      <c r="C317" s="13">
        <v>1</v>
      </c>
      <c r="D317" s="13">
        <f t="shared" si="3"/>
        <v>120</v>
      </c>
      <c r="E317" s="13">
        <v>360</v>
      </c>
      <c r="F317" s="13">
        <f t="shared" si="4"/>
        <v>3</v>
      </c>
      <c r="G317" s="13">
        <v>842</v>
      </c>
      <c r="H317" s="13">
        <v>30</v>
      </c>
      <c r="I317" s="13">
        <v>20862</v>
      </c>
      <c r="J317" s="46" t="s">
        <v>21</v>
      </c>
      <c r="K317" s="13">
        <v>312.5</v>
      </c>
      <c r="L317" s="13">
        <v>21.8</v>
      </c>
      <c r="M317" s="13">
        <v>694.62</v>
      </c>
      <c r="N317" s="16">
        <v>1.03974134446989</v>
      </c>
      <c r="O317" s="13" t="s">
        <v>354</v>
      </c>
    </row>
    <row r="318" spans="1:15" x14ac:dyDescent="0.25">
      <c r="A318" s="8" t="s">
        <v>357</v>
      </c>
      <c r="B318" s="13">
        <v>120</v>
      </c>
      <c r="C318" s="13">
        <v>1</v>
      </c>
      <c r="D318" s="13">
        <f t="shared" si="3"/>
        <v>120</v>
      </c>
      <c r="E318" s="13">
        <v>360</v>
      </c>
      <c r="F318" s="13">
        <f t="shared" si="4"/>
        <v>3</v>
      </c>
      <c r="G318" s="13">
        <v>945</v>
      </c>
      <c r="H318" s="13">
        <v>60</v>
      </c>
      <c r="I318" s="13">
        <v>47846</v>
      </c>
      <c r="J318" s="46" t="s">
        <v>21</v>
      </c>
      <c r="K318" s="13">
        <v>312.5</v>
      </c>
      <c r="L318" s="13">
        <v>21.8</v>
      </c>
      <c r="M318" s="13">
        <v>636.12</v>
      </c>
      <c r="N318" s="16">
        <v>0.95217567021419902</v>
      </c>
      <c r="O318" s="13" t="s">
        <v>354</v>
      </c>
    </row>
    <row r="319" spans="1:15" x14ac:dyDescent="0.25">
      <c r="A319" s="8" t="s">
        <v>358</v>
      </c>
      <c r="B319" s="13">
        <v>120</v>
      </c>
      <c r="C319" s="13">
        <v>1</v>
      </c>
      <c r="D319" s="13">
        <f t="shared" si="3"/>
        <v>120</v>
      </c>
      <c r="E319" s="13">
        <v>360</v>
      </c>
      <c r="F319" s="13">
        <f t="shared" si="4"/>
        <v>3</v>
      </c>
      <c r="G319" s="13">
        <v>1006</v>
      </c>
      <c r="H319" s="13">
        <v>90</v>
      </c>
      <c r="I319" s="13">
        <v>77177</v>
      </c>
      <c r="J319" s="46" t="s">
        <v>21</v>
      </c>
      <c r="K319" s="13">
        <v>312.5</v>
      </c>
      <c r="L319" s="13">
        <v>21.8</v>
      </c>
      <c r="M319" s="13">
        <v>397.44</v>
      </c>
      <c r="N319" s="16">
        <v>0.59490771925097696</v>
      </c>
      <c r="O319" s="13" t="s">
        <v>354</v>
      </c>
    </row>
    <row r="320" spans="1:15" x14ac:dyDescent="0.25">
      <c r="A320" s="8" t="s">
        <v>359</v>
      </c>
      <c r="B320" s="15">
        <v>120</v>
      </c>
      <c r="C320" s="15">
        <v>1</v>
      </c>
      <c r="D320" s="15">
        <f t="shared" si="3"/>
        <v>120</v>
      </c>
      <c r="E320" s="15">
        <v>360</v>
      </c>
      <c r="F320" s="15">
        <f t="shared" si="4"/>
        <v>3</v>
      </c>
      <c r="G320" s="15">
        <v>20</v>
      </c>
      <c r="H320" s="11">
        <v>0</v>
      </c>
      <c r="I320" s="15">
        <v>0</v>
      </c>
      <c r="J320" s="12" t="s">
        <v>16</v>
      </c>
      <c r="K320" s="15">
        <v>312.5</v>
      </c>
      <c r="L320" s="15">
        <v>32.6</v>
      </c>
      <c r="M320" s="15">
        <v>757.17</v>
      </c>
      <c r="N320" s="105">
        <v>1</v>
      </c>
      <c r="O320" s="13" t="s">
        <v>354</v>
      </c>
    </row>
    <row r="321" spans="1:15" x14ac:dyDescent="0.25">
      <c r="A321" s="8" t="s">
        <v>360</v>
      </c>
      <c r="B321" s="13">
        <v>120</v>
      </c>
      <c r="C321" s="13">
        <v>1</v>
      </c>
      <c r="D321" s="13">
        <f t="shared" si="3"/>
        <v>120</v>
      </c>
      <c r="E321" s="13">
        <v>360</v>
      </c>
      <c r="F321" s="13">
        <f t="shared" si="4"/>
        <v>3</v>
      </c>
      <c r="G321" s="13">
        <v>400</v>
      </c>
      <c r="H321" s="13">
        <v>68</v>
      </c>
      <c r="I321" s="13">
        <v>25600</v>
      </c>
      <c r="J321" s="46" t="s">
        <v>21</v>
      </c>
      <c r="K321" s="13">
        <v>312.5</v>
      </c>
      <c r="L321" s="13">
        <v>32.6</v>
      </c>
      <c r="M321" s="13">
        <v>743.49</v>
      </c>
      <c r="N321" s="16">
        <v>0.98193272316652802</v>
      </c>
      <c r="O321" s="13" t="s">
        <v>354</v>
      </c>
    </row>
    <row r="322" spans="1:15" x14ac:dyDescent="0.25">
      <c r="A322" s="8" t="s">
        <v>361</v>
      </c>
      <c r="B322" s="13">
        <v>120</v>
      </c>
      <c r="C322" s="13">
        <v>1</v>
      </c>
      <c r="D322" s="13">
        <f t="shared" si="3"/>
        <v>120</v>
      </c>
      <c r="E322" s="13">
        <v>360</v>
      </c>
      <c r="F322" s="13">
        <f t="shared" si="4"/>
        <v>3</v>
      </c>
      <c r="G322" s="13">
        <v>842</v>
      </c>
      <c r="H322" s="13">
        <v>30</v>
      </c>
      <c r="I322" s="13">
        <v>20862</v>
      </c>
      <c r="J322" s="46" t="s">
        <v>21</v>
      </c>
      <c r="K322" s="13">
        <v>312.5</v>
      </c>
      <c r="L322" s="13">
        <v>32.6</v>
      </c>
      <c r="M322" s="13">
        <v>749.52</v>
      </c>
      <c r="N322" s="16">
        <v>0.98989658861286101</v>
      </c>
      <c r="O322" s="13" t="s">
        <v>354</v>
      </c>
    </row>
    <row r="323" spans="1:15" x14ac:dyDescent="0.25">
      <c r="A323" s="8" t="s">
        <v>362</v>
      </c>
      <c r="B323" s="13">
        <v>120</v>
      </c>
      <c r="C323" s="13">
        <v>1</v>
      </c>
      <c r="D323" s="13">
        <f t="shared" si="3"/>
        <v>120</v>
      </c>
      <c r="E323" s="13">
        <v>360</v>
      </c>
      <c r="F323" s="13">
        <f t="shared" si="4"/>
        <v>3</v>
      </c>
      <c r="G323" s="13">
        <v>945</v>
      </c>
      <c r="H323" s="13">
        <v>60</v>
      </c>
      <c r="I323" s="13">
        <v>47846</v>
      </c>
      <c r="J323" s="46" t="s">
        <v>21</v>
      </c>
      <c r="K323" s="13">
        <v>312.5</v>
      </c>
      <c r="L323" s="13">
        <v>32.6</v>
      </c>
      <c r="M323" s="13">
        <v>707.94</v>
      </c>
      <c r="N323" s="16">
        <v>0.93498157613217603</v>
      </c>
      <c r="O323" s="13" t="s">
        <v>354</v>
      </c>
    </row>
    <row r="324" spans="1:15" x14ac:dyDescent="0.25">
      <c r="A324" s="8" t="s">
        <v>363</v>
      </c>
      <c r="B324" s="13">
        <v>120</v>
      </c>
      <c r="C324" s="13">
        <v>1</v>
      </c>
      <c r="D324" s="13">
        <f t="shared" si="3"/>
        <v>120</v>
      </c>
      <c r="E324" s="13">
        <v>360</v>
      </c>
      <c r="F324" s="13">
        <f t="shared" si="4"/>
        <v>3</v>
      </c>
      <c r="G324" s="13">
        <v>1006</v>
      </c>
      <c r="H324" s="13">
        <v>90</v>
      </c>
      <c r="I324" s="13">
        <v>77177</v>
      </c>
      <c r="J324" s="46" t="s">
        <v>21</v>
      </c>
      <c r="K324" s="13">
        <v>312.5</v>
      </c>
      <c r="L324" s="13">
        <v>32.6</v>
      </c>
      <c r="M324" s="13">
        <v>450.81</v>
      </c>
      <c r="N324" s="16">
        <v>0.59538808986092995</v>
      </c>
      <c r="O324" s="13" t="s">
        <v>354</v>
      </c>
    </row>
    <row r="325" spans="1:15" x14ac:dyDescent="0.25">
      <c r="A325" s="8" t="s">
        <v>364</v>
      </c>
      <c r="B325" s="15">
        <v>120</v>
      </c>
      <c r="C325" s="15">
        <v>1</v>
      </c>
      <c r="D325" s="15">
        <f t="shared" si="3"/>
        <v>120</v>
      </c>
      <c r="E325" s="15">
        <v>360</v>
      </c>
      <c r="F325" s="15">
        <f t="shared" si="4"/>
        <v>3</v>
      </c>
      <c r="G325" s="15">
        <v>20</v>
      </c>
      <c r="H325" s="11">
        <v>0</v>
      </c>
      <c r="I325" s="15">
        <v>0</v>
      </c>
      <c r="J325" s="12" t="s">
        <v>16</v>
      </c>
      <c r="K325" s="15">
        <v>312.5</v>
      </c>
      <c r="L325" s="15">
        <v>42.3</v>
      </c>
      <c r="M325" s="15">
        <v>830.61</v>
      </c>
      <c r="N325" s="105">
        <v>1</v>
      </c>
      <c r="O325" s="13" t="s">
        <v>354</v>
      </c>
    </row>
    <row r="326" spans="1:15" x14ac:dyDescent="0.25">
      <c r="A326" s="8" t="s">
        <v>365</v>
      </c>
      <c r="B326" s="13">
        <v>120</v>
      </c>
      <c r="C326" s="13">
        <v>1</v>
      </c>
      <c r="D326" s="13">
        <f t="shared" si="3"/>
        <v>120</v>
      </c>
      <c r="E326" s="13">
        <v>360</v>
      </c>
      <c r="F326" s="13">
        <f t="shared" si="4"/>
        <v>3</v>
      </c>
      <c r="G326" s="13">
        <v>400</v>
      </c>
      <c r="H326" s="13">
        <v>68</v>
      </c>
      <c r="I326" s="13">
        <v>25600</v>
      </c>
      <c r="J326" s="46" t="s">
        <v>21</v>
      </c>
      <c r="K326" s="13">
        <v>312.5</v>
      </c>
      <c r="L326" s="13">
        <v>42.3</v>
      </c>
      <c r="M326" s="13">
        <v>778.59</v>
      </c>
      <c r="N326" s="16">
        <v>0.93737132950482205</v>
      </c>
      <c r="O326" s="13" t="s">
        <v>354</v>
      </c>
    </row>
    <row r="327" spans="1:15" x14ac:dyDescent="0.25">
      <c r="A327" s="8" t="s">
        <v>366</v>
      </c>
      <c r="B327" s="13">
        <v>120</v>
      </c>
      <c r="C327" s="13">
        <v>1</v>
      </c>
      <c r="D327" s="13">
        <f t="shared" si="3"/>
        <v>120</v>
      </c>
      <c r="E327" s="13">
        <v>360</v>
      </c>
      <c r="F327" s="13">
        <f t="shared" si="4"/>
        <v>3</v>
      </c>
      <c r="G327" s="13">
        <v>842</v>
      </c>
      <c r="H327" s="13">
        <v>30</v>
      </c>
      <c r="I327" s="13">
        <v>20862</v>
      </c>
      <c r="J327" s="46" t="s">
        <v>21</v>
      </c>
      <c r="K327" s="13">
        <v>312.5</v>
      </c>
      <c r="L327" s="13">
        <v>42.3</v>
      </c>
      <c r="M327" s="13">
        <v>772.47</v>
      </c>
      <c r="N327" s="16">
        <v>0.93000325062303602</v>
      </c>
      <c r="O327" s="13" t="s">
        <v>354</v>
      </c>
    </row>
    <row r="328" spans="1:15" x14ac:dyDescent="0.25">
      <c r="A328" s="8" t="s">
        <v>367</v>
      </c>
      <c r="B328" s="13">
        <v>120</v>
      </c>
      <c r="C328" s="13">
        <v>1</v>
      </c>
      <c r="D328" s="13">
        <f t="shared" si="3"/>
        <v>120</v>
      </c>
      <c r="E328" s="13">
        <v>360</v>
      </c>
      <c r="F328" s="13">
        <f t="shared" si="4"/>
        <v>3</v>
      </c>
      <c r="G328" s="13">
        <v>945</v>
      </c>
      <c r="H328" s="13">
        <v>60</v>
      </c>
      <c r="I328" s="13">
        <v>47846</v>
      </c>
      <c r="J328" s="46" t="s">
        <v>21</v>
      </c>
      <c r="K328" s="13">
        <v>312.5</v>
      </c>
      <c r="L328" s="13">
        <v>42.3</v>
      </c>
      <c r="M328" s="13">
        <v>720.27</v>
      </c>
      <c r="N328" s="16">
        <v>0.86715787192545202</v>
      </c>
      <c r="O328" s="13" t="s">
        <v>354</v>
      </c>
    </row>
    <row r="329" spans="1:15" x14ac:dyDescent="0.25">
      <c r="A329" s="8" t="s">
        <v>368</v>
      </c>
      <c r="B329" s="13">
        <v>120</v>
      </c>
      <c r="C329" s="13">
        <v>1</v>
      </c>
      <c r="D329" s="13">
        <f t="shared" si="3"/>
        <v>120</v>
      </c>
      <c r="E329" s="13">
        <v>360</v>
      </c>
      <c r="F329" s="13">
        <f t="shared" si="4"/>
        <v>3</v>
      </c>
      <c r="G329" s="13">
        <v>1006</v>
      </c>
      <c r="H329" s="13">
        <v>90</v>
      </c>
      <c r="I329" s="13">
        <v>77177</v>
      </c>
      <c r="J329" s="46" t="s">
        <v>21</v>
      </c>
      <c r="K329" s="13">
        <v>312.5</v>
      </c>
      <c r="L329" s="13">
        <v>42.3</v>
      </c>
      <c r="M329" s="13">
        <v>517.04999999999995</v>
      </c>
      <c r="N329" s="16">
        <v>0.62249431140968703</v>
      </c>
      <c r="O329" s="13" t="s">
        <v>354</v>
      </c>
    </row>
    <row r="330" spans="1:15" x14ac:dyDescent="0.25">
      <c r="A330" s="8" t="s">
        <v>369</v>
      </c>
      <c r="B330" s="15">
        <v>120</v>
      </c>
      <c r="C330" s="15">
        <v>1.2</v>
      </c>
      <c r="D330" s="15">
        <f t="shared" si="3"/>
        <v>100</v>
      </c>
      <c r="E330" s="15">
        <v>360</v>
      </c>
      <c r="F330" s="15">
        <f t="shared" si="4"/>
        <v>3</v>
      </c>
      <c r="G330" s="15">
        <v>20</v>
      </c>
      <c r="H330" s="11">
        <v>0</v>
      </c>
      <c r="I330" s="15">
        <v>0</v>
      </c>
      <c r="J330" s="12" t="s">
        <v>16</v>
      </c>
      <c r="K330" s="15">
        <v>301.60000000000002</v>
      </c>
      <c r="L330" s="15">
        <v>21.8</v>
      </c>
      <c r="M330" s="15">
        <v>792.63</v>
      </c>
      <c r="N330" s="105">
        <v>1</v>
      </c>
      <c r="O330" s="13" t="s">
        <v>354</v>
      </c>
    </row>
    <row r="331" spans="1:15" x14ac:dyDescent="0.25">
      <c r="A331" s="8" t="s">
        <v>370</v>
      </c>
      <c r="B331" s="13">
        <v>120</v>
      </c>
      <c r="C331" s="13">
        <v>1.2</v>
      </c>
      <c r="D331" s="13">
        <f t="shared" si="3"/>
        <v>100</v>
      </c>
      <c r="E331" s="13">
        <v>360</v>
      </c>
      <c r="F331" s="13">
        <f t="shared" si="4"/>
        <v>3</v>
      </c>
      <c r="G331" s="13">
        <v>400</v>
      </c>
      <c r="H331" s="13">
        <v>68</v>
      </c>
      <c r="I331" s="13">
        <v>25600</v>
      </c>
      <c r="J331" s="46" t="s">
        <v>21</v>
      </c>
      <c r="K331" s="13">
        <v>301.60000000000002</v>
      </c>
      <c r="L331" s="13">
        <v>21.8</v>
      </c>
      <c r="M331" s="13">
        <v>796.59</v>
      </c>
      <c r="N331" s="16">
        <v>1.0049960258885</v>
      </c>
      <c r="O331" s="13" t="s">
        <v>354</v>
      </c>
    </row>
    <row r="332" spans="1:15" x14ac:dyDescent="0.25">
      <c r="A332" s="8" t="s">
        <v>371</v>
      </c>
      <c r="B332" s="13">
        <v>120</v>
      </c>
      <c r="C332" s="13">
        <v>1.2</v>
      </c>
      <c r="D332" s="13">
        <f t="shared" si="3"/>
        <v>100</v>
      </c>
      <c r="E332" s="13">
        <v>360</v>
      </c>
      <c r="F332" s="13">
        <f t="shared" si="4"/>
        <v>3</v>
      </c>
      <c r="G332" s="13">
        <v>842</v>
      </c>
      <c r="H332" s="13">
        <v>30</v>
      </c>
      <c r="I332" s="13">
        <v>20862</v>
      </c>
      <c r="J332" s="46" t="s">
        <v>21</v>
      </c>
      <c r="K332" s="13">
        <v>301.60000000000002</v>
      </c>
      <c r="L332" s="13">
        <v>21.8</v>
      </c>
      <c r="M332" s="13">
        <v>785.43</v>
      </c>
      <c r="N332" s="16">
        <v>0.99091631656636803</v>
      </c>
      <c r="O332" s="13" t="s">
        <v>354</v>
      </c>
    </row>
    <row r="333" spans="1:15" x14ac:dyDescent="0.25">
      <c r="A333" s="8" t="s">
        <v>372</v>
      </c>
      <c r="B333" s="13">
        <v>120</v>
      </c>
      <c r="C333" s="13">
        <v>1.2</v>
      </c>
      <c r="D333" s="13">
        <f t="shared" si="3"/>
        <v>100</v>
      </c>
      <c r="E333" s="13">
        <v>360</v>
      </c>
      <c r="F333" s="13">
        <f t="shared" si="4"/>
        <v>3</v>
      </c>
      <c r="G333" s="13">
        <v>945</v>
      </c>
      <c r="H333" s="13">
        <v>60</v>
      </c>
      <c r="I333" s="13">
        <v>47846</v>
      </c>
      <c r="J333" s="46" t="s">
        <v>21</v>
      </c>
      <c r="K333" s="13">
        <v>301.60000000000002</v>
      </c>
      <c r="L333" s="13">
        <v>21.8</v>
      </c>
      <c r="M333" s="13">
        <v>756.36</v>
      </c>
      <c r="N333" s="16">
        <v>0.95424094470307697</v>
      </c>
      <c r="O333" s="13" t="s">
        <v>354</v>
      </c>
    </row>
    <row r="334" spans="1:15" x14ac:dyDescent="0.25">
      <c r="A334" s="8" t="s">
        <v>373</v>
      </c>
      <c r="B334" s="13">
        <v>120</v>
      </c>
      <c r="C334" s="13">
        <v>1.2</v>
      </c>
      <c r="D334" s="13">
        <f t="shared" si="3"/>
        <v>100</v>
      </c>
      <c r="E334" s="13">
        <v>360</v>
      </c>
      <c r="F334" s="13">
        <f t="shared" si="4"/>
        <v>3</v>
      </c>
      <c r="G334" s="13">
        <v>1006</v>
      </c>
      <c r="H334" s="13">
        <v>90</v>
      </c>
      <c r="I334" s="13">
        <v>77177</v>
      </c>
      <c r="J334" s="46" t="s">
        <v>21</v>
      </c>
      <c r="K334" s="13">
        <v>301.60000000000002</v>
      </c>
      <c r="L334" s="13">
        <v>21.8</v>
      </c>
      <c r="M334" s="13">
        <v>539.73</v>
      </c>
      <c r="N334" s="16">
        <v>0.68093561939366398</v>
      </c>
      <c r="O334" s="13" t="s">
        <v>354</v>
      </c>
    </row>
    <row r="335" spans="1:15" x14ac:dyDescent="0.25">
      <c r="A335" s="8" t="s">
        <v>374</v>
      </c>
      <c r="B335" s="15">
        <v>120</v>
      </c>
      <c r="C335" s="15">
        <v>1.2</v>
      </c>
      <c r="D335" s="15">
        <f t="shared" si="3"/>
        <v>100</v>
      </c>
      <c r="E335" s="15">
        <v>360</v>
      </c>
      <c r="F335" s="15">
        <f t="shared" si="4"/>
        <v>3</v>
      </c>
      <c r="G335" s="15">
        <v>20</v>
      </c>
      <c r="H335" s="11">
        <v>0</v>
      </c>
      <c r="I335" s="15">
        <v>0</v>
      </c>
      <c r="J335" s="12" t="s">
        <v>16</v>
      </c>
      <c r="K335" s="15">
        <v>301.60000000000002</v>
      </c>
      <c r="L335" s="15">
        <v>32.6</v>
      </c>
      <c r="M335" s="15">
        <v>798.39</v>
      </c>
      <c r="N335" s="105">
        <v>1</v>
      </c>
      <c r="O335" s="13" t="s">
        <v>354</v>
      </c>
    </row>
    <row r="336" spans="1:15" x14ac:dyDescent="0.25">
      <c r="A336" s="8" t="s">
        <v>375</v>
      </c>
      <c r="B336" s="13">
        <v>120</v>
      </c>
      <c r="C336" s="13">
        <v>1.2</v>
      </c>
      <c r="D336" s="13">
        <f t="shared" si="3"/>
        <v>100</v>
      </c>
      <c r="E336" s="13">
        <v>360</v>
      </c>
      <c r="F336" s="13">
        <f t="shared" si="4"/>
        <v>3</v>
      </c>
      <c r="G336" s="13">
        <v>400</v>
      </c>
      <c r="H336" s="13">
        <v>68</v>
      </c>
      <c r="I336" s="13">
        <v>25600</v>
      </c>
      <c r="J336" s="46" t="s">
        <v>21</v>
      </c>
      <c r="K336" s="13">
        <v>301.60000000000002</v>
      </c>
      <c r="L336" s="13">
        <v>32.6</v>
      </c>
      <c r="M336" s="13">
        <v>818.1</v>
      </c>
      <c r="N336" s="16">
        <v>1.0246871829557</v>
      </c>
      <c r="O336" s="13" t="s">
        <v>354</v>
      </c>
    </row>
    <row r="337" spans="1:15" x14ac:dyDescent="0.25">
      <c r="A337" s="8" t="s">
        <v>376</v>
      </c>
      <c r="B337" s="13">
        <v>120</v>
      </c>
      <c r="C337" s="13">
        <v>1.2</v>
      </c>
      <c r="D337" s="13">
        <f t="shared" si="3"/>
        <v>100</v>
      </c>
      <c r="E337" s="13">
        <v>360</v>
      </c>
      <c r="F337" s="13">
        <f t="shared" si="4"/>
        <v>3</v>
      </c>
      <c r="G337" s="13">
        <v>842</v>
      </c>
      <c r="H337" s="13">
        <v>30</v>
      </c>
      <c r="I337" s="13">
        <v>20862</v>
      </c>
      <c r="J337" s="46" t="s">
        <v>21</v>
      </c>
      <c r="K337" s="13">
        <v>301.60000000000002</v>
      </c>
      <c r="L337" s="13">
        <v>32.6</v>
      </c>
      <c r="M337" s="13">
        <v>793.62</v>
      </c>
      <c r="N337" s="16">
        <v>0.99402547627099502</v>
      </c>
      <c r="O337" s="13" t="s">
        <v>354</v>
      </c>
    </row>
    <row r="338" spans="1:15" x14ac:dyDescent="0.25">
      <c r="A338" s="8" t="s">
        <v>377</v>
      </c>
      <c r="B338" s="13">
        <v>120</v>
      </c>
      <c r="C338" s="13">
        <v>1.2</v>
      </c>
      <c r="D338" s="13">
        <f t="shared" si="3"/>
        <v>100</v>
      </c>
      <c r="E338" s="13">
        <v>360</v>
      </c>
      <c r="F338" s="13">
        <f t="shared" si="4"/>
        <v>3</v>
      </c>
      <c r="G338" s="13">
        <v>945</v>
      </c>
      <c r="H338" s="13">
        <v>60</v>
      </c>
      <c r="I338" s="13">
        <v>47846</v>
      </c>
      <c r="J338" s="46" t="s">
        <v>21</v>
      </c>
      <c r="K338" s="13">
        <v>301.60000000000002</v>
      </c>
      <c r="L338" s="13">
        <v>32.6</v>
      </c>
      <c r="M338" s="13">
        <v>738.9</v>
      </c>
      <c r="N338" s="16">
        <v>0.92548754368165898</v>
      </c>
      <c r="O338" s="13" t="s">
        <v>354</v>
      </c>
    </row>
    <row r="339" spans="1:15" x14ac:dyDescent="0.25">
      <c r="A339" s="8" t="s">
        <v>378</v>
      </c>
      <c r="B339" s="13">
        <v>120</v>
      </c>
      <c r="C339" s="13">
        <v>1.2</v>
      </c>
      <c r="D339" s="13">
        <f t="shared" si="3"/>
        <v>100</v>
      </c>
      <c r="E339" s="13">
        <v>360</v>
      </c>
      <c r="F339" s="13">
        <f t="shared" si="4"/>
        <v>3</v>
      </c>
      <c r="G339" s="13">
        <v>1006</v>
      </c>
      <c r="H339" s="13">
        <v>90</v>
      </c>
      <c r="I339" s="13">
        <v>77177</v>
      </c>
      <c r="J339" s="46" t="s">
        <v>21</v>
      </c>
      <c r="K339" s="13">
        <v>301.60000000000002</v>
      </c>
      <c r="L339" s="13">
        <v>32.6</v>
      </c>
      <c r="M339" s="13">
        <v>537.66</v>
      </c>
      <c r="N339" s="16">
        <v>0.67343027843535097</v>
      </c>
      <c r="O339" s="13" t="s">
        <v>354</v>
      </c>
    </row>
    <row r="340" spans="1:15" x14ac:dyDescent="0.25">
      <c r="A340" s="8" t="s">
        <v>379</v>
      </c>
      <c r="B340" s="15">
        <v>120</v>
      </c>
      <c r="C340" s="15">
        <v>1.2</v>
      </c>
      <c r="D340" s="15">
        <f t="shared" si="3"/>
        <v>100</v>
      </c>
      <c r="E340" s="15">
        <v>360</v>
      </c>
      <c r="F340" s="15">
        <f t="shared" si="4"/>
        <v>3</v>
      </c>
      <c r="G340" s="15">
        <v>20</v>
      </c>
      <c r="H340" s="11">
        <v>0</v>
      </c>
      <c r="I340" s="15">
        <v>0</v>
      </c>
      <c r="J340" s="12" t="s">
        <v>16</v>
      </c>
      <c r="K340" s="15">
        <v>301.60000000000002</v>
      </c>
      <c r="L340" s="15">
        <v>42.3</v>
      </c>
      <c r="M340" s="15">
        <v>900.45</v>
      </c>
      <c r="N340" s="105">
        <v>1</v>
      </c>
      <c r="O340" s="13" t="s">
        <v>354</v>
      </c>
    </row>
    <row r="341" spans="1:15" x14ac:dyDescent="0.25">
      <c r="A341" s="8" t="s">
        <v>380</v>
      </c>
      <c r="B341" s="13">
        <v>120</v>
      </c>
      <c r="C341" s="13">
        <v>1.2</v>
      </c>
      <c r="D341" s="13">
        <f t="shared" si="3"/>
        <v>100</v>
      </c>
      <c r="E341" s="13">
        <v>360</v>
      </c>
      <c r="F341" s="13">
        <f t="shared" si="4"/>
        <v>3</v>
      </c>
      <c r="G341" s="13">
        <v>400</v>
      </c>
      <c r="H341" s="13">
        <v>68</v>
      </c>
      <c r="I341" s="13">
        <v>25600</v>
      </c>
      <c r="J341" s="46" t="s">
        <v>21</v>
      </c>
      <c r="K341" s="13">
        <v>301.60000000000002</v>
      </c>
      <c r="L341" s="13">
        <v>42.3</v>
      </c>
      <c r="M341" s="13">
        <v>902.79</v>
      </c>
      <c r="N341" s="16">
        <v>1.0025987006496799</v>
      </c>
      <c r="O341" s="13" t="s">
        <v>354</v>
      </c>
    </row>
    <row r="342" spans="1:15" x14ac:dyDescent="0.25">
      <c r="A342" s="8" t="s">
        <v>381</v>
      </c>
      <c r="B342" s="13">
        <v>120</v>
      </c>
      <c r="C342" s="13">
        <v>1.2</v>
      </c>
      <c r="D342" s="13">
        <f t="shared" si="3"/>
        <v>100</v>
      </c>
      <c r="E342" s="13">
        <v>360</v>
      </c>
      <c r="F342" s="13">
        <f t="shared" si="4"/>
        <v>3</v>
      </c>
      <c r="G342" s="13">
        <v>842</v>
      </c>
      <c r="H342" s="13">
        <v>30</v>
      </c>
      <c r="I342" s="13">
        <v>20862</v>
      </c>
      <c r="J342" s="46" t="s">
        <v>21</v>
      </c>
      <c r="K342" s="13">
        <v>301.60000000000002</v>
      </c>
      <c r="L342" s="13">
        <v>42.3</v>
      </c>
      <c r="M342" s="13">
        <v>919.35</v>
      </c>
      <c r="N342" s="16">
        <v>1.0209895052473801</v>
      </c>
      <c r="O342" s="13" t="s">
        <v>354</v>
      </c>
    </row>
    <row r="343" spans="1:15" x14ac:dyDescent="0.25">
      <c r="A343" s="8" t="s">
        <v>382</v>
      </c>
      <c r="B343" s="13">
        <v>120</v>
      </c>
      <c r="C343" s="13">
        <v>1.2</v>
      </c>
      <c r="D343" s="13">
        <f t="shared" si="3"/>
        <v>100</v>
      </c>
      <c r="E343" s="13">
        <v>360</v>
      </c>
      <c r="F343" s="13">
        <f t="shared" si="4"/>
        <v>3</v>
      </c>
      <c r="G343" s="13">
        <v>945</v>
      </c>
      <c r="H343" s="13">
        <v>60</v>
      </c>
      <c r="I343" s="13">
        <v>47846</v>
      </c>
      <c r="J343" s="46" t="s">
        <v>21</v>
      </c>
      <c r="K343" s="13">
        <v>301.60000000000002</v>
      </c>
      <c r="L343" s="13">
        <v>42.3</v>
      </c>
      <c r="M343" s="13">
        <v>800.91</v>
      </c>
      <c r="N343" s="16">
        <v>0.88945527236381805</v>
      </c>
      <c r="O343" s="13" t="s">
        <v>354</v>
      </c>
    </row>
    <row r="344" spans="1:15" x14ac:dyDescent="0.25">
      <c r="A344" s="8" t="s">
        <v>383</v>
      </c>
      <c r="B344" s="13">
        <v>120</v>
      </c>
      <c r="C344" s="13">
        <v>1.2</v>
      </c>
      <c r="D344" s="13">
        <f t="shared" si="3"/>
        <v>100</v>
      </c>
      <c r="E344" s="13">
        <v>360</v>
      </c>
      <c r="F344" s="13">
        <f t="shared" si="4"/>
        <v>3</v>
      </c>
      <c r="G344" s="13">
        <v>1006</v>
      </c>
      <c r="H344" s="13">
        <v>90</v>
      </c>
      <c r="I344" s="13">
        <v>77177</v>
      </c>
      <c r="J344" s="46" t="s">
        <v>21</v>
      </c>
      <c r="K344" s="13">
        <v>301.60000000000002</v>
      </c>
      <c r="L344" s="13">
        <v>42.3</v>
      </c>
      <c r="M344" s="13">
        <v>531</v>
      </c>
      <c r="N344" s="16">
        <v>0.58970514742628699</v>
      </c>
      <c r="O344" s="13" t="s">
        <v>354</v>
      </c>
    </row>
    <row r="345" spans="1:15" x14ac:dyDescent="0.25">
      <c r="A345" s="8" t="s">
        <v>384</v>
      </c>
      <c r="B345" s="15">
        <v>120</v>
      </c>
      <c r="C345" s="15">
        <v>1.5</v>
      </c>
      <c r="D345" s="15">
        <f t="shared" si="3"/>
        <v>80</v>
      </c>
      <c r="E345" s="15">
        <v>360</v>
      </c>
      <c r="F345" s="15">
        <f t="shared" si="4"/>
        <v>3</v>
      </c>
      <c r="G345" s="15">
        <v>20</v>
      </c>
      <c r="H345" s="11">
        <v>0</v>
      </c>
      <c r="I345" s="15">
        <v>0</v>
      </c>
      <c r="J345" s="12" t="s">
        <v>16</v>
      </c>
      <c r="K345" s="15">
        <v>292.39999999999998</v>
      </c>
      <c r="L345" s="15">
        <v>21.8</v>
      </c>
      <c r="M345" s="15">
        <v>789.48</v>
      </c>
      <c r="N345" s="105">
        <v>1</v>
      </c>
      <c r="O345" s="13" t="s">
        <v>354</v>
      </c>
    </row>
    <row r="346" spans="1:15" x14ac:dyDescent="0.25">
      <c r="A346" s="8" t="s">
        <v>385</v>
      </c>
      <c r="B346" s="13">
        <v>120</v>
      </c>
      <c r="C346" s="13">
        <v>1.5</v>
      </c>
      <c r="D346" s="13">
        <f t="shared" si="3"/>
        <v>80</v>
      </c>
      <c r="E346" s="13">
        <v>360</v>
      </c>
      <c r="F346" s="13">
        <f t="shared" si="4"/>
        <v>3</v>
      </c>
      <c r="G346" s="13">
        <v>400</v>
      </c>
      <c r="H346" s="13">
        <v>68</v>
      </c>
      <c r="I346" s="13">
        <v>25600</v>
      </c>
      <c r="J346" s="46" t="s">
        <v>21</v>
      </c>
      <c r="K346" s="13">
        <v>292.39999999999998</v>
      </c>
      <c r="L346" s="13">
        <v>21.8</v>
      </c>
      <c r="M346" s="13">
        <v>797.58</v>
      </c>
      <c r="N346" s="16">
        <v>1.0102599179206599</v>
      </c>
      <c r="O346" s="13" t="s">
        <v>354</v>
      </c>
    </row>
    <row r="347" spans="1:15" x14ac:dyDescent="0.25">
      <c r="A347" s="8" t="s">
        <v>386</v>
      </c>
      <c r="B347" s="13">
        <v>120</v>
      </c>
      <c r="C347" s="13">
        <v>1.5</v>
      </c>
      <c r="D347" s="13">
        <f t="shared" si="3"/>
        <v>80</v>
      </c>
      <c r="E347" s="13">
        <v>360</v>
      </c>
      <c r="F347" s="13">
        <f t="shared" si="4"/>
        <v>3</v>
      </c>
      <c r="G347" s="13">
        <v>842</v>
      </c>
      <c r="H347" s="13">
        <v>30</v>
      </c>
      <c r="I347" s="13">
        <v>20862</v>
      </c>
      <c r="J347" s="46" t="s">
        <v>21</v>
      </c>
      <c r="K347" s="13">
        <v>292.39999999999998</v>
      </c>
      <c r="L347" s="13">
        <v>21.8</v>
      </c>
      <c r="M347" s="13">
        <v>837.81</v>
      </c>
      <c r="N347" s="16">
        <v>1.0612175102599199</v>
      </c>
      <c r="O347" s="13" t="s">
        <v>354</v>
      </c>
    </row>
    <row r="348" spans="1:15" x14ac:dyDescent="0.25">
      <c r="A348" s="8" t="s">
        <v>387</v>
      </c>
      <c r="B348" s="13">
        <v>120</v>
      </c>
      <c r="C348" s="13">
        <v>1.5</v>
      </c>
      <c r="D348" s="13">
        <f t="shared" si="3"/>
        <v>80</v>
      </c>
      <c r="E348" s="13">
        <v>360</v>
      </c>
      <c r="F348" s="13">
        <f t="shared" si="4"/>
        <v>3</v>
      </c>
      <c r="G348" s="13">
        <v>945</v>
      </c>
      <c r="H348" s="13">
        <v>60</v>
      </c>
      <c r="I348" s="13">
        <v>47846</v>
      </c>
      <c r="J348" s="46" t="s">
        <v>21</v>
      </c>
      <c r="K348" s="13">
        <v>292.39999999999998</v>
      </c>
      <c r="L348" s="13">
        <v>21.8</v>
      </c>
      <c r="M348" s="13">
        <v>786.51</v>
      </c>
      <c r="N348" s="16">
        <v>0.99623803009575895</v>
      </c>
      <c r="O348" s="13" t="s">
        <v>354</v>
      </c>
    </row>
    <row r="349" spans="1:15" x14ac:dyDescent="0.25">
      <c r="A349" s="8" t="s">
        <v>388</v>
      </c>
      <c r="B349" s="13">
        <v>120</v>
      </c>
      <c r="C349" s="13">
        <v>1.5</v>
      </c>
      <c r="D349" s="13">
        <f t="shared" si="3"/>
        <v>80</v>
      </c>
      <c r="E349" s="13">
        <v>360</v>
      </c>
      <c r="F349" s="13">
        <f t="shared" si="4"/>
        <v>3</v>
      </c>
      <c r="G349" s="13">
        <v>1006</v>
      </c>
      <c r="H349" s="13">
        <v>90</v>
      </c>
      <c r="I349" s="13">
        <v>77177</v>
      </c>
      <c r="J349" s="46" t="s">
        <v>21</v>
      </c>
      <c r="K349" s="13">
        <v>292.39999999999998</v>
      </c>
      <c r="L349" s="13">
        <v>21.8</v>
      </c>
      <c r="M349" s="13">
        <v>560.07000000000005</v>
      </c>
      <c r="N349" s="16">
        <v>0.70941632466940296</v>
      </c>
      <c r="O349" s="13" t="s">
        <v>354</v>
      </c>
    </row>
    <row r="350" spans="1:15" x14ac:dyDescent="0.25">
      <c r="A350" s="8" t="s">
        <v>389</v>
      </c>
      <c r="B350" s="15">
        <v>120</v>
      </c>
      <c r="C350" s="15">
        <v>1.5</v>
      </c>
      <c r="D350" s="15">
        <f t="shared" si="3"/>
        <v>80</v>
      </c>
      <c r="E350" s="15">
        <v>360</v>
      </c>
      <c r="F350" s="15">
        <f t="shared" si="4"/>
        <v>3</v>
      </c>
      <c r="G350" s="15">
        <v>20</v>
      </c>
      <c r="H350" s="11">
        <v>0</v>
      </c>
      <c r="I350" s="15">
        <v>0</v>
      </c>
      <c r="J350" s="12" t="s">
        <v>16</v>
      </c>
      <c r="K350" s="15">
        <v>292.39999999999998</v>
      </c>
      <c r="L350" s="15">
        <v>32.6</v>
      </c>
      <c r="M350" s="15">
        <v>828.45</v>
      </c>
      <c r="N350" s="105">
        <v>1</v>
      </c>
      <c r="O350" s="13" t="s">
        <v>354</v>
      </c>
    </row>
    <row r="351" spans="1:15" x14ac:dyDescent="0.25">
      <c r="A351" s="8" t="s">
        <v>390</v>
      </c>
      <c r="B351" s="13">
        <v>120</v>
      </c>
      <c r="C351" s="13">
        <v>1.5</v>
      </c>
      <c r="D351" s="13">
        <f t="shared" si="3"/>
        <v>80</v>
      </c>
      <c r="E351" s="13">
        <v>360</v>
      </c>
      <c r="F351" s="13">
        <f t="shared" si="4"/>
        <v>3</v>
      </c>
      <c r="G351" s="13">
        <v>400</v>
      </c>
      <c r="H351" s="13">
        <v>68</v>
      </c>
      <c r="I351" s="13">
        <v>25600</v>
      </c>
      <c r="J351" s="46" t="s">
        <v>21</v>
      </c>
      <c r="K351" s="13">
        <v>292.39999999999998</v>
      </c>
      <c r="L351" s="13">
        <v>32.6</v>
      </c>
      <c r="M351" s="13">
        <v>825.3</v>
      </c>
      <c r="N351" s="16">
        <v>0.99619771863117901</v>
      </c>
      <c r="O351" s="13" t="s">
        <v>354</v>
      </c>
    </row>
    <row r="352" spans="1:15" x14ac:dyDescent="0.25">
      <c r="A352" s="8" t="s">
        <v>391</v>
      </c>
      <c r="B352" s="13">
        <v>120</v>
      </c>
      <c r="C352" s="13">
        <v>1.5</v>
      </c>
      <c r="D352" s="13">
        <f t="shared" si="3"/>
        <v>80</v>
      </c>
      <c r="E352" s="13">
        <v>360</v>
      </c>
      <c r="F352" s="13">
        <f t="shared" si="4"/>
        <v>3</v>
      </c>
      <c r="G352" s="13">
        <v>842</v>
      </c>
      <c r="H352" s="13">
        <v>30</v>
      </c>
      <c r="I352" s="13">
        <v>20862</v>
      </c>
      <c r="J352" s="46" t="s">
        <v>21</v>
      </c>
      <c r="K352" s="13">
        <v>292.39999999999998</v>
      </c>
      <c r="L352" s="13">
        <v>32.6</v>
      </c>
      <c r="M352" s="13">
        <v>885.96</v>
      </c>
      <c r="N352" s="16">
        <v>1.06941879413362</v>
      </c>
      <c r="O352" s="13" t="s">
        <v>354</v>
      </c>
    </row>
    <row r="353" spans="1:15" x14ac:dyDescent="0.25">
      <c r="A353" s="8" t="s">
        <v>392</v>
      </c>
      <c r="B353" s="13">
        <v>120</v>
      </c>
      <c r="C353" s="13">
        <v>1.5</v>
      </c>
      <c r="D353" s="13">
        <f t="shared" si="3"/>
        <v>80</v>
      </c>
      <c r="E353" s="13">
        <v>360</v>
      </c>
      <c r="F353" s="13">
        <f t="shared" si="4"/>
        <v>3</v>
      </c>
      <c r="G353" s="13">
        <v>945</v>
      </c>
      <c r="H353" s="13">
        <v>60</v>
      </c>
      <c r="I353" s="13">
        <v>47846</v>
      </c>
      <c r="J353" s="46" t="s">
        <v>21</v>
      </c>
      <c r="K353" s="13">
        <v>292.39999999999998</v>
      </c>
      <c r="L353" s="13">
        <v>32.6</v>
      </c>
      <c r="M353" s="13">
        <v>791.82</v>
      </c>
      <c r="N353" s="16">
        <v>0.95578489951113499</v>
      </c>
      <c r="O353" s="13" t="s">
        <v>354</v>
      </c>
    </row>
    <row r="354" spans="1:15" x14ac:dyDescent="0.25">
      <c r="A354" s="8" t="s">
        <v>393</v>
      </c>
      <c r="B354" s="13">
        <v>120</v>
      </c>
      <c r="C354" s="13">
        <v>1.5</v>
      </c>
      <c r="D354" s="13">
        <f t="shared" ref="D354:D385" si="5">B354/C354</f>
        <v>80</v>
      </c>
      <c r="E354" s="13">
        <v>360</v>
      </c>
      <c r="F354" s="13">
        <f t="shared" ref="F354:F385" si="6">E354/B354</f>
        <v>3</v>
      </c>
      <c r="G354" s="13">
        <v>1006</v>
      </c>
      <c r="H354" s="13">
        <v>90</v>
      </c>
      <c r="I354" s="13">
        <v>77177</v>
      </c>
      <c r="J354" s="46" t="s">
        <v>21</v>
      </c>
      <c r="K354" s="13">
        <v>292.39999999999998</v>
      </c>
      <c r="L354" s="13">
        <v>32.6</v>
      </c>
      <c r="M354" s="13">
        <v>563.76</v>
      </c>
      <c r="N354" s="16">
        <v>0.68049972840847395</v>
      </c>
      <c r="O354" s="13" t="s">
        <v>354</v>
      </c>
    </row>
    <row r="355" spans="1:15" x14ac:dyDescent="0.25">
      <c r="A355" s="8" t="s">
        <v>394</v>
      </c>
      <c r="B355" s="15">
        <v>120</v>
      </c>
      <c r="C355" s="15">
        <v>1.5</v>
      </c>
      <c r="D355" s="15">
        <f t="shared" si="5"/>
        <v>80</v>
      </c>
      <c r="E355" s="15">
        <v>360</v>
      </c>
      <c r="F355" s="15">
        <f t="shared" si="6"/>
        <v>3</v>
      </c>
      <c r="G355" s="15">
        <v>20</v>
      </c>
      <c r="H355" s="11">
        <v>0</v>
      </c>
      <c r="I355" s="15">
        <v>0</v>
      </c>
      <c r="J355" s="12" t="s">
        <v>16</v>
      </c>
      <c r="K355" s="15">
        <v>292.39999999999998</v>
      </c>
      <c r="L355" s="15">
        <v>42.3</v>
      </c>
      <c r="M355" s="15">
        <v>944.28</v>
      </c>
      <c r="N355" s="105">
        <v>1</v>
      </c>
      <c r="O355" s="13" t="s">
        <v>354</v>
      </c>
    </row>
    <row r="356" spans="1:15" x14ac:dyDescent="0.25">
      <c r="A356" s="8" t="s">
        <v>395</v>
      </c>
      <c r="B356" s="13">
        <v>120</v>
      </c>
      <c r="C356" s="13">
        <v>1.5</v>
      </c>
      <c r="D356" s="13">
        <f t="shared" si="5"/>
        <v>80</v>
      </c>
      <c r="E356" s="13">
        <v>360</v>
      </c>
      <c r="F356" s="13">
        <f t="shared" si="6"/>
        <v>3</v>
      </c>
      <c r="G356" s="13">
        <v>400</v>
      </c>
      <c r="H356" s="13">
        <v>68</v>
      </c>
      <c r="I356" s="13">
        <v>25600</v>
      </c>
      <c r="J356" s="46" t="s">
        <v>21</v>
      </c>
      <c r="K356" s="13">
        <v>292.39999999999998</v>
      </c>
      <c r="L356" s="13">
        <v>42.3</v>
      </c>
      <c r="M356" s="13">
        <v>906.48</v>
      </c>
      <c r="N356" s="16">
        <v>0.95996950057186403</v>
      </c>
      <c r="O356" s="13" t="s">
        <v>354</v>
      </c>
    </row>
    <row r="357" spans="1:15" x14ac:dyDescent="0.25">
      <c r="A357" s="8" t="s">
        <v>396</v>
      </c>
      <c r="B357" s="13">
        <v>120</v>
      </c>
      <c r="C357" s="13">
        <v>1.5</v>
      </c>
      <c r="D357" s="13">
        <f t="shared" si="5"/>
        <v>80</v>
      </c>
      <c r="E357" s="13">
        <v>360</v>
      </c>
      <c r="F357" s="13">
        <f t="shared" si="6"/>
        <v>3</v>
      </c>
      <c r="G357" s="13">
        <v>842</v>
      </c>
      <c r="H357" s="13">
        <v>30</v>
      </c>
      <c r="I357" s="13">
        <v>20862</v>
      </c>
      <c r="J357" s="46" t="s">
        <v>21</v>
      </c>
      <c r="K357" s="13">
        <v>292.39999999999998</v>
      </c>
      <c r="L357" s="13">
        <v>42.3</v>
      </c>
      <c r="M357" s="13">
        <v>977.22</v>
      </c>
      <c r="N357" s="16">
        <v>1.03488372093023</v>
      </c>
      <c r="O357" s="13" t="s">
        <v>354</v>
      </c>
    </row>
    <row r="358" spans="1:15" x14ac:dyDescent="0.25">
      <c r="A358" s="8" t="s">
        <v>397</v>
      </c>
      <c r="B358" s="13">
        <v>120</v>
      </c>
      <c r="C358" s="13">
        <v>1.5</v>
      </c>
      <c r="D358" s="13">
        <f t="shared" si="5"/>
        <v>80</v>
      </c>
      <c r="E358" s="13">
        <v>360</v>
      </c>
      <c r="F358" s="13">
        <f t="shared" si="6"/>
        <v>3</v>
      </c>
      <c r="G358" s="13">
        <v>945</v>
      </c>
      <c r="H358" s="13">
        <v>60</v>
      </c>
      <c r="I358" s="13">
        <v>47846</v>
      </c>
      <c r="J358" s="46" t="s">
        <v>21</v>
      </c>
      <c r="K358" s="13">
        <v>292.39999999999998</v>
      </c>
      <c r="L358" s="13">
        <v>42.3</v>
      </c>
      <c r="M358" s="13">
        <v>840.78</v>
      </c>
      <c r="N358" s="16">
        <v>0.89039268013724704</v>
      </c>
      <c r="O358" s="13" t="s">
        <v>354</v>
      </c>
    </row>
    <row r="359" spans="1:15" x14ac:dyDescent="0.25">
      <c r="A359" s="8" t="s">
        <v>398</v>
      </c>
      <c r="B359" s="13">
        <v>120</v>
      </c>
      <c r="C359" s="13">
        <v>1.5</v>
      </c>
      <c r="D359" s="13">
        <f t="shared" si="5"/>
        <v>80</v>
      </c>
      <c r="E359" s="13">
        <v>360</v>
      </c>
      <c r="F359" s="13">
        <f t="shared" si="6"/>
        <v>3</v>
      </c>
      <c r="G359" s="13">
        <v>1006</v>
      </c>
      <c r="H359" s="13">
        <v>90</v>
      </c>
      <c r="I359" s="13">
        <v>77177</v>
      </c>
      <c r="J359" s="46" t="s">
        <v>21</v>
      </c>
      <c r="K359" s="13">
        <v>292.39999999999998</v>
      </c>
      <c r="L359" s="13">
        <v>42.3</v>
      </c>
      <c r="M359" s="13">
        <v>603.45000000000005</v>
      </c>
      <c r="N359" s="16">
        <v>0.63905833015630997</v>
      </c>
      <c r="O359" s="13" t="s">
        <v>354</v>
      </c>
    </row>
    <row r="360" spans="1:15" x14ac:dyDescent="0.25">
      <c r="A360" s="8" t="s">
        <v>399</v>
      </c>
      <c r="B360" s="15">
        <v>120</v>
      </c>
      <c r="C360" s="15">
        <v>2</v>
      </c>
      <c r="D360" s="15">
        <f t="shared" si="5"/>
        <v>60</v>
      </c>
      <c r="E360" s="15">
        <v>360</v>
      </c>
      <c r="F360" s="15">
        <f t="shared" si="6"/>
        <v>3</v>
      </c>
      <c r="G360" s="15">
        <v>20</v>
      </c>
      <c r="H360" s="11">
        <v>0</v>
      </c>
      <c r="I360" s="15">
        <v>0</v>
      </c>
      <c r="J360" s="12" t="s">
        <v>16</v>
      </c>
      <c r="K360" s="15">
        <v>289.5</v>
      </c>
      <c r="L360" s="15">
        <v>21.8</v>
      </c>
      <c r="M360" s="15">
        <v>1144.17</v>
      </c>
      <c r="N360" s="105">
        <v>1</v>
      </c>
      <c r="O360" s="13" t="s">
        <v>354</v>
      </c>
    </row>
    <row r="361" spans="1:15" x14ac:dyDescent="0.25">
      <c r="A361" s="8" t="s">
        <v>400</v>
      </c>
      <c r="B361" s="13">
        <v>120</v>
      </c>
      <c r="C361" s="13">
        <v>2</v>
      </c>
      <c r="D361" s="13">
        <f t="shared" si="5"/>
        <v>60</v>
      </c>
      <c r="E361" s="13">
        <v>360</v>
      </c>
      <c r="F361" s="13">
        <f t="shared" si="6"/>
        <v>3</v>
      </c>
      <c r="G361" s="13">
        <v>400</v>
      </c>
      <c r="H361" s="13">
        <v>68</v>
      </c>
      <c r="I361" s="13">
        <v>25600</v>
      </c>
      <c r="J361" s="46" t="s">
        <v>21</v>
      </c>
      <c r="K361" s="13">
        <v>289.5</v>
      </c>
      <c r="L361" s="13">
        <v>21.8</v>
      </c>
      <c r="M361" s="13">
        <v>1007.91</v>
      </c>
      <c r="N361" s="16">
        <v>0.88090930543538104</v>
      </c>
      <c r="O361" s="13" t="s">
        <v>354</v>
      </c>
    </row>
    <row r="362" spans="1:15" x14ac:dyDescent="0.25">
      <c r="A362" s="8" t="s">
        <v>401</v>
      </c>
      <c r="B362" s="13">
        <v>120</v>
      </c>
      <c r="C362" s="13">
        <v>2</v>
      </c>
      <c r="D362" s="13">
        <f t="shared" si="5"/>
        <v>60</v>
      </c>
      <c r="E362" s="13">
        <v>360</v>
      </c>
      <c r="F362" s="13">
        <f t="shared" si="6"/>
        <v>3</v>
      </c>
      <c r="G362" s="13">
        <v>842</v>
      </c>
      <c r="H362" s="13">
        <v>30</v>
      </c>
      <c r="I362" s="13">
        <v>20862</v>
      </c>
      <c r="J362" s="46" t="s">
        <v>21</v>
      </c>
      <c r="K362" s="13">
        <v>289.5</v>
      </c>
      <c r="L362" s="13">
        <v>21.8</v>
      </c>
      <c r="M362" s="13">
        <v>1108.71</v>
      </c>
      <c r="N362" s="16">
        <v>0.969008101942893</v>
      </c>
      <c r="O362" s="13" t="s">
        <v>354</v>
      </c>
    </row>
    <row r="363" spans="1:15" x14ac:dyDescent="0.25">
      <c r="A363" s="8" t="s">
        <v>402</v>
      </c>
      <c r="B363" s="13">
        <v>120</v>
      </c>
      <c r="C363" s="13">
        <v>2</v>
      </c>
      <c r="D363" s="13">
        <f t="shared" si="5"/>
        <v>60</v>
      </c>
      <c r="E363" s="13">
        <v>360</v>
      </c>
      <c r="F363" s="13">
        <f t="shared" si="6"/>
        <v>3</v>
      </c>
      <c r="G363" s="13">
        <v>945</v>
      </c>
      <c r="H363" s="13">
        <v>60</v>
      </c>
      <c r="I363" s="13">
        <v>47846</v>
      </c>
      <c r="J363" s="46" t="s">
        <v>21</v>
      </c>
      <c r="K363" s="13">
        <v>289.5</v>
      </c>
      <c r="L363" s="13">
        <v>21.8</v>
      </c>
      <c r="M363" s="13">
        <v>990.18</v>
      </c>
      <c r="N363" s="16">
        <v>0.86541335640682804</v>
      </c>
      <c r="O363" s="13" t="s">
        <v>354</v>
      </c>
    </row>
    <row r="364" spans="1:15" x14ac:dyDescent="0.25">
      <c r="A364" s="8" t="s">
        <v>403</v>
      </c>
      <c r="B364" s="13">
        <v>120</v>
      </c>
      <c r="C364" s="13">
        <v>2</v>
      </c>
      <c r="D364" s="13">
        <f t="shared" si="5"/>
        <v>60</v>
      </c>
      <c r="E364" s="13">
        <v>360</v>
      </c>
      <c r="F364" s="13">
        <f t="shared" si="6"/>
        <v>3</v>
      </c>
      <c r="G364" s="13">
        <v>1006</v>
      </c>
      <c r="H364" s="13">
        <v>90</v>
      </c>
      <c r="I364" s="13">
        <v>77177</v>
      </c>
      <c r="J364" s="46" t="s">
        <v>21</v>
      </c>
      <c r="K364" s="13">
        <v>289.5</v>
      </c>
      <c r="L364" s="13">
        <v>21.8</v>
      </c>
      <c r="M364" s="13">
        <v>661.59</v>
      </c>
      <c r="N364" s="16">
        <v>0.57822701172028601</v>
      </c>
      <c r="O364" s="13" t="s">
        <v>354</v>
      </c>
    </row>
    <row r="365" spans="1:15" x14ac:dyDescent="0.25">
      <c r="A365" s="8" t="s">
        <v>404</v>
      </c>
      <c r="B365" s="15">
        <v>120</v>
      </c>
      <c r="C365" s="15">
        <v>2</v>
      </c>
      <c r="D365" s="15">
        <f t="shared" si="5"/>
        <v>60</v>
      </c>
      <c r="E365" s="15">
        <v>360</v>
      </c>
      <c r="F365" s="15">
        <f t="shared" si="6"/>
        <v>3</v>
      </c>
      <c r="G365" s="15">
        <v>20</v>
      </c>
      <c r="H365" s="11">
        <v>0</v>
      </c>
      <c r="I365" s="15">
        <v>0</v>
      </c>
      <c r="J365" s="12" t="s">
        <v>16</v>
      </c>
      <c r="K365" s="15">
        <v>289.5</v>
      </c>
      <c r="L365" s="15">
        <v>32.6</v>
      </c>
      <c r="M365" s="15">
        <v>1089.99</v>
      </c>
      <c r="N365" s="105">
        <v>1</v>
      </c>
      <c r="O365" s="13" t="s">
        <v>354</v>
      </c>
    </row>
    <row r="366" spans="1:15" x14ac:dyDescent="0.25">
      <c r="A366" s="8" t="s">
        <v>405</v>
      </c>
      <c r="B366" s="13">
        <v>120</v>
      </c>
      <c r="C366" s="13">
        <v>2</v>
      </c>
      <c r="D366" s="13">
        <f t="shared" si="5"/>
        <v>60</v>
      </c>
      <c r="E366" s="13">
        <v>360</v>
      </c>
      <c r="F366" s="13">
        <f t="shared" si="6"/>
        <v>3</v>
      </c>
      <c r="G366" s="13">
        <v>400</v>
      </c>
      <c r="H366" s="13">
        <v>68</v>
      </c>
      <c r="I366" s="13">
        <v>25600</v>
      </c>
      <c r="J366" s="46" t="s">
        <v>21</v>
      </c>
      <c r="K366" s="13">
        <v>289.5</v>
      </c>
      <c r="L366" s="13">
        <v>32.6</v>
      </c>
      <c r="M366" s="13">
        <v>1206.9000000000001</v>
      </c>
      <c r="N366" s="16">
        <v>1.10725786475105</v>
      </c>
      <c r="O366" s="13" t="s">
        <v>354</v>
      </c>
    </row>
    <row r="367" spans="1:15" x14ac:dyDescent="0.25">
      <c r="A367" s="8" t="s">
        <v>406</v>
      </c>
      <c r="B367" s="13">
        <v>120</v>
      </c>
      <c r="C367" s="13">
        <v>2</v>
      </c>
      <c r="D367" s="13">
        <f t="shared" si="5"/>
        <v>60</v>
      </c>
      <c r="E367" s="13">
        <v>360</v>
      </c>
      <c r="F367" s="13">
        <f t="shared" si="6"/>
        <v>3</v>
      </c>
      <c r="G367" s="13">
        <v>842</v>
      </c>
      <c r="H367" s="13">
        <v>30</v>
      </c>
      <c r="I367" s="13">
        <v>20862</v>
      </c>
      <c r="J367" s="46" t="s">
        <v>21</v>
      </c>
      <c r="K367" s="13">
        <v>289.5</v>
      </c>
      <c r="L367" s="13">
        <v>32.6</v>
      </c>
      <c r="M367" s="13">
        <v>1198.08</v>
      </c>
      <c r="N367" s="16">
        <v>1.0991660473949301</v>
      </c>
      <c r="O367" s="13" t="s">
        <v>354</v>
      </c>
    </row>
    <row r="368" spans="1:15" x14ac:dyDescent="0.25">
      <c r="A368" s="8" t="s">
        <v>407</v>
      </c>
      <c r="B368" s="13">
        <v>120</v>
      </c>
      <c r="C368" s="13">
        <v>2</v>
      </c>
      <c r="D368" s="13">
        <f t="shared" si="5"/>
        <v>60</v>
      </c>
      <c r="E368" s="13">
        <v>360</v>
      </c>
      <c r="F368" s="13">
        <f t="shared" si="6"/>
        <v>3</v>
      </c>
      <c r="G368" s="13">
        <v>945</v>
      </c>
      <c r="H368" s="13">
        <v>60</v>
      </c>
      <c r="I368" s="13">
        <v>47846</v>
      </c>
      <c r="J368" s="46" t="s">
        <v>21</v>
      </c>
      <c r="K368" s="13">
        <v>289.5</v>
      </c>
      <c r="L368" s="13">
        <v>32.6</v>
      </c>
      <c r="M368" s="13">
        <v>1063.3499999999999</v>
      </c>
      <c r="N368" s="16">
        <v>0.97555940880191505</v>
      </c>
      <c r="O368" s="13" t="s">
        <v>354</v>
      </c>
    </row>
    <row r="369" spans="1:15" x14ac:dyDescent="0.25">
      <c r="A369" s="8" t="s">
        <v>408</v>
      </c>
      <c r="B369" s="13">
        <v>120</v>
      </c>
      <c r="C369" s="13">
        <v>2</v>
      </c>
      <c r="D369" s="13">
        <f t="shared" si="5"/>
        <v>60</v>
      </c>
      <c r="E369" s="13">
        <v>360</v>
      </c>
      <c r="F369" s="13">
        <f t="shared" si="6"/>
        <v>3</v>
      </c>
      <c r="G369" s="13">
        <v>1006</v>
      </c>
      <c r="H369" s="13">
        <v>90</v>
      </c>
      <c r="I369" s="13">
        <v>77177</v>
      </c>
      <c r="J369" s="46" t="s">
        <v>21</v>
      </c>
      <c r="K369" s="13">
        <v>289.5</v>
      </c>
      <c r="L369" s="13">
        <v>32.6</v>
      </c>
      <c r="M369" s="13">
        <v>660.24</v>
      </c>
      <c r="N369" s="16">
        <v>0.60573032780117297</v>
      </c>
      <c r="O369" s="13" t="s">
        <v>354</v>
      </c>
    </row>
    <row r="370" spans="1:15" x14ac:dyDescent="0.25">
      <c r="A370" s="8" t="s">
        <v>409</v>
      </c>
      <c r="B370" s="15">
        <v>120</v>
      </c>
      <c r="C370" s="15">
        <v>2</v>
      </c>
      <c r="D370" s="15">
        <f t="shared" si="5"/>
        <v>60</v>
      </c>
      <c r="E370" s="15">
        <v>360</v>
      </c>
      <c r="F370" s="15">
        <f t="shared" si="6"/>
        <v>3</v>
      </c>
      <c r="G370" s="15">
        <v>20</v>
      </c>
      <c r="H370" s="11">
        <v>0</v>
      </c>
      <c r="I370" s="15">
        <v>0</v>
      </c>
      <c r="J370" s="12" t="s">
        <v>16</v>
      </c>
      <c r="K370" s="15">
        <v>289.5</v>
      </c>
      <c r="L370" s="15">
        <v>42.3</v>
      </c>
      <c r="M370" s="15">
        <v>1232.82</v>
      </c>
      <c r="N370" s="105">
        <v>1</v>
      </c>
      <c r="O370" s="13" t="s">
        <v>354</v>
      </c>
    </row>
    <row r="371" spans="1:15" x14ac:dyDescent="0.25">
      <c r="A371" s="8" t="s">
        <v>410</v>
      </c>
      <c r="B371" s="13">
        <v>120</v>
      </c>
      <c r="C371" s="13">
        <v>2</v>
      </c>
      <c r="D371" s="13">
        <f t="shared" si="5"/>
        <v>60</v>
      </c>
      <c r="E371" s="13">
        <v>360</v>
      </c>
      <c r="F371" s="13">
        <f t="shared" si="6"/>
        <v>3</v>
      </c>
      <c r="G371" s="13">
        <v>400</v>
      </c>
      <c r="H371" s="13">
        <v>68</v>
      </c>
      <c r="I371" s="13">
        <v>25600</v>
      </c>
      <c r="J371" s="46" t="s">
        <v>21</v>
      </c>
      <c r="K371" s="13">
        <v>289.5</v>
      </c>
      <c r="L371" s="13">
        <v>42.3</v>
      </c>
      <c r="M371" s="13">
        <v>1189.71</v>
      </c>
      <c r="N371" s="16">
        <v>0.96503139144400696</v>
      </c>
      <c r="O371" s="13" t="s">
        <v>354</v>
      </c>
    </row>
    <row r="372" spans="1:15" x14ac:dyDescent="0.25">
      <c r="A372" s="8" t="s">
        <v>411</v>
      </c>
      <c r="B372" s="13">
        <v>120</v>
      </c>
      <c r="C372" s="13">
        <v>2</v>
      </c>
      <c r="D372" s="13">
        <f t="shared" si="5"/>
        <v>60</v>
      </c>
      <c r="E372" s="13">
        <v>360</v>
      </c>
      <c r="F372" s="13">
        <f t="shared" si="6"/>
        <v>3</v>
      </c>
      <c r="G372" s="13">
        <v>842</v>
      </c>
      <c r="H372" s="13">
        <v>30</v>
      </c>
      <c r="I372" s="13">
        <v>20862</v>
      </c>
      <c r="J372" s="46" t="s">
        <v>21</v>
      </c>
      <c r="K372" s="13">
        <v>289.5</v>
      </c>
      <c r="L372" s="13">
        <v>42.3</v>
      </c>
      <c r="M372" s="13">
        <v>1238.94</v>
      </c>
      <c r="N372" s="16">
        <v>1.0049642283544999</v>
      </c>
      <c r="O372" s="13" t="s">
        <v>354</v>
      </c>
    </row>
    <row r="373" spans="1:15" x14ac:dyDescent="0.25">
      <c r="A373" s="8" t="s">
        <v>412</v>
      </c>
      <c r="B373" s="13">
        <v>120</v>
      </c>
      <c r="C373" s="13">
        <v>2</v>
      </c>
      <c r="D373" s="13">
        <f t="shared" si="5"/>
        <v>60</v>
      </c>
      <c r="E373" s="13">
        <v>360</v>
      </c>
      <c r="F373" s="13">
        <f t="shared" si="6"/>
        <v>3</v>
      </c>
      <c r="G373" s="13">
        <v>945</v>
      </c>
      <c r="H373" s="13">
        <v>60</v>
      </c>
      <c r="I373" s="13">
        <v>47846</v>
      </c>
      <c r="J373" s="46" t="s">
        <v>21</v>
      </c>
      <c r="K373" s="13">
        <v>289.5</v>
      </c>
      <c r="L373" s="13">
        <v>42.3</v>
      </c>
      <c r="M373" s="13">
        <v>1189.71</v>
      </c>
      <c r="N373" s="16">
        <v>0.96503139144400696</v>
      </c>
      <c r="O373" s="13" t="s">
        <v>354</v>
      </c>
    </row>
    <row r="374" spans="1:15" x14ac:dyDescent="0.25">
      <c r="A374" s="8" t="s">
        <v>413</v>
      </c>
      <c r="B374" s="13">
        <v>120</v>
      </c>
      <c r="C374" s="13">
        <v>2</v>
      </c>
      <c r="D374" s="13">
        <f t="shared" si="5"/>
        <v>60</v>
      </c>
      <c r="E374" s="13">
        <v>360</v>
      </c>
      <c r="F374" s="13">
        <f t="shared" si="6"/>
        <v>3</v>
      </c>
      <c r="G374" s="13">
        <v>1006</v>
      </c>
      <c r="H374" s="13">
        <v>90</v>
      </c>
      <c r="I374" s="13">
        <v>77177</v>
      </c>
      <c r="J374" s="46" t="s">
        <v>21</v>
      </c>
      <c r="K374" s="13">
        <v>289.5</v>
      </c>
      <c r="L374" s="13">
        <v>42.3</v>
      </c>
      <c r="M374" s="13">
        <v>740.97</v>
      </c>
      <c r="N374" s="16">
        <v>0.60103664768579401</v>
      </c>
      <c r="O374" s="13" t="s">
        <v>354</v>
      </c>
    </row>
    <row r="375" spans="1:15" x14ac:dyDescent="0.25">
      <c r="A375" s="8" t="s">
        <v>414</v>
      </c>
      <c r="B375" s="13">
        <v>120</v>
      </c>
      <c r="C375" s="13">
        <v>1</v>
      </c>
      <c r="D375" s="13">
        <f t="shared" si="5"/>
        <v>120</v>
      </c>
      <c r="E375" s="13">
        <v>360</v>
      </c>
      <c r="F375" s="13">
        <f t="shared" si="6"/>
        <v>3</v>
      </c>
      <c r="G375" s="13">
        <v>945</v>
      </c>
      <c r="H375" s="13">
        <v>60</v>
      </c>
      <c r="I375" s="13">
        <v>47846</v>
      </c>
      <c r="J375" s="46" t="s">
        <v>68</v>
      </c>
      <c r="K375" s="13">
        <v>312.5</v>
      </c>
      <c r="L375" s="13">
        <v>32.6</v>
      </c>
      <c r="M375" s="13">
        <v>638.82000000000005</v>
      </c>
      <c r="N375" s="16">
        <v>0.84369428265779201</v>
      </c>
      <c r="O375" s="13" t="s">
        <v>354</v>
      </c>
    </row>
    <row r="376" spans="1:15" x14ac:dyDescent="0.25">
      <c r="A376" s="8" t="s">
        <v>415</v>
      </c>
      <c r="B376" s="13">
        <v>120</v>
      </c>
      <c r="C376" s="13">
        <v>1.2</v>
      </c>
      <c r="D376" s="13">
        <f t="shared" si="5"/>
        <v>100</v>
      </c>
      <c r="E376" s="13">
        <v>360</v>
      </c>
      <c r="F376" s="13">
        <f t="shared" si="6"/>
        <v>3</v>
      </c>
      <c r="G376" s="13">
        <v>945</v>
      </c>
      <c r="H376" s="13">
        <v>60</v>
      </c>
      <c r="I376" s="13">
        <v>47846</v>
      </c>
      <c r="J376" s="46" t="s">
        <v>68</v>
      </c>
      <c r="K376" s="13">
        <v>301.60000000000002</v>
      </c>
      <c r="L376" s="13">
        <v>32.6</v>
      </c>
      <c r="M376" s="13">
        <v>736.65</v>
      </c>
      <c r="N376" s="16">
        <v>0.92266937211137401</v>
      </c>
      <c r="O376" s="13" t="s">
        <v>354</v>
      </c>
    </row>
    <row r="377" spans="1:15" x14ac:dyDescent="0.25">
      <c r="A377" s="8" t="s">
        <v>416</v>
      </c>
      <c r="B377" s="13">
        <v>120</v>
      </c>
      <c r="C377" s="13">
        <v>1.5</v>
      </c>
      <c r="D377" s="13">
        <f t="shared" si="5"/>
        <v>80</v>
      </c>
      <c r="E377" s="13">
        <v>360</v>
      </c>
      <c r="F377" s="13">
        <f t="shared" si="6"/>
        <v>3</v>
      </c>
      <c r="G377" s="13">
        <v>945</v>
      </c>
      <c r="H377" s="13">
        <v>60</v>
      </c>
      <c r="I377" s="13">
        <v>47846</v>
      </c>
      <c r="J377" s="46" t="s">
        <v>68</v>
      </c>
      <c r="K377" s="13">
        <v>292.39999999999998</v>
      </c>
      <c r="L377" s="13">
        <v>21.8</v>
      </c>
      <c r="M377" s="13">
        <v>693.36</v>
      </c>
      <c r="N377" s="16">
        <v>0.87824897400820801</v>
      </c>
      <c r="O377" s="13" t="s">
        <v>354</v>
      </c>
    </row>
    <row r="378" spans="1:15" x14ac:dyDescent="0.25">
      <c r="A378" s="8" t="s">
        <v>417</v>
      </c>
      <c r="B378" s="13">
        <v>120</v>
      </c>
      <c r="C378" s="13">
        <v>1.5</v>
      </c>
      <c r="D378" s="13">
        <f t="shared" si="5"/>
        <v>80</v>
      </c>
      <c r="E378" s="13">
        <v>360</v>
      </c>
      <c r="F378" s="13">
        <f t="shared" si="6"/>
        <v>3</v>
      </c>
      <c r="G378" s="13">
        <v>400</v>
      </c>
      <c r="H378" s="13">
        <v>68</v>
      </c>
      <c r="I378" s="13">
        <v>25600</v>
      </c>
      <c r="J378" s="46" t="s">
        <v>68</v>
      </c>
      <c r="K378" s="13">
        <v>292.39999999999998</v>
      </c>
      <c r="L378" s="13">
        <v>32.6</v>
      </c>
      <c r="M378" s="13">
        <v>744.12</v>
      </c>
      <c r="N378" s="16">
        <v>0.89820749592612703</v>
      </c>
      <c r="O378" s="13" t="s">
        <v>354</v>
      </c>
    </row>
    <row r="379" spans="1:15" x14ac:dyDescent="0.25">
      <c r="A379" s="8" t="s">
        <v>418</v>
      </c>
      <c r="B379" s="13">
        <v>120</v>
      </c>
      <c r="C379" s="13">
        <v>1.5</v>
      </c>
      <c r="D379" s="13">
        <f t="shared" si="5"/>
        <v>80</v>
      </c>
      <c r="E379" s="13">
        <v>360</v>
      </c>
      <c r="F379" s="13">
        <f t="shared" si="6"/>
        <v>3</v>
      </c>
      <c r="G379" s="13">
        <v>842</v>
      </c>
      <c r="H379" s="13">
        <v>30</v>
      </c>
      <c r="I379" s="13">
        <v>20862</v>
      </c>
      <c r="J379" s="46" t="s">
        <v>68</v>
      </c>
      <c r="K379" s="13">
        <v>292.39999999999998</v>
      </c>
      <c r="L379" s="13">
        <v>32.6</v>
      </c>
      <c r="M379" s="13">
        <v>772.65</v>
      </c>
      <c r="N379" s="16">
        <v>0.93264530146659397</v>
      </c>
      <c r="O379" s="13" t="s">
        <v>354</v>
      </c>
    </row>
    <row r="380" spans="1:15" x14ac:dyDescent="0.25">
      <c r="A380" s="8" t="s">
        <v>419</v>
      </c>
      <c r="B380" s="13">
        <v>120</v>
      </c>
      <c r="C380" s="13">
        <v>1.5</v>
      </c>
      <c r="D380" s="13">
        <f t="shared" si="5"/>
        <v>80</v>
      </c>
      <c r="E380" s="13">
        <v>360</v>
      </c>
      <c r="F380" s="13">
        <f t="shared" si="6"/>
        <v>3</v>
      </c>
      <c r="G380" s="13">
        <v>945</v>
      </c>
      <c r="H380" s="13">
        <v>60</v>
      </c>
      <c r="I380" s="13">
        <v>47846</v>
      </c>
      <c r="J380" s="46" t="s">
        <v>68</v>
      </c>
      <c r="K380" s="13">
        <v>292.39999999999998</v>
      </c>
      <c r="L380" s="13">
        <v>32.6</v>
      </c>
      <c r="M380" s="13">
        <v>705.42</v>
      </c>
      <c r="N380" s="16">
        <v>0.85149375339489397</v>
      </c>
      <c r="O380" s="13" t="s">
        <v>354</v>
      </c>
    </row>
    <row r="381" spans="1:15" x14ac:dyDescent="0.25">
      <c r="A381" s="8" t="s">
        <v>420</v>
      </c>
      <c r="B381" s="13">
        <v>120</v>
      </c>
      <c r="C381" s="13">
        <v>1.5</v>
      </c>
      <c r="D381" s="13">
        <f t="shared" si="5"/>
        <v>80</v>
      </c>
      <c r="E381" s="13">
        <v>360</v>
      </c>
      <c r="F381" s="13">
        <f t="shared" si="6"/>
        <v>3</v>
      </c>
      <c r="G381" s="13">
        <v>1006</v>
      </c>
      <c r="H381" s="13">
        <v>90</v>
      </c>
      <c r="I381" s="13">
        <v>77177</v>
      </c>
      <c r="J381" s="46" t="s">
        <v>68</v>
      </c>
      <c r="K381" s="13">
        <v>292.39999999999998</v>
      </c>
      <c r="L381" s="13">
        <v>32.6</v>
      </c>
      <c r="M381" s="13">
        <v>480.51</v>
      </c>
      <c r="N381" s="16">
        <v>0.58001086366105403</v>
      </c>
      <c r="O381" s="13" t="s">
        <v>354</v>
      </c>
    </row>
    <row r="382" spans="1:15" x14ac:dyDescent="0.25">
      <c r="A382" s="8" t="s">
        <v>421</v>
      </c>
      <c r="B382" s="13">
        <v>120</v>
      </c>
      <c r="C382" s="13">
        <v>1.5</v>
      </c>
      <c r="D382" s="13">
        <f t="shared" si="5"/>
        <v>80</v>
      </c>
      <c r="E382" s="13">
        <v>360</v>
      </c>
      <c r="F382" s="13">
        <f t="shared" si="6"/>
        <v>3</v>
      </c>
      <c r="G382" s="13">
        <v>945</v>
      </c>
      <c r="H382" s="13">
        <v>60</v>
      </c>
      <c r="I382" s="13">
        <v>47846</v>
      </c>
      <c r="J382" s="46" t="s">
        <v>68</v>
      </c>
      <c r="K382" s="13">
        <v>292.39999999999998</v>
      </c>
      <c r="L382" s="13">
        <v>42.3</v>
      </c>
      <c r="M382" s="13">
        <v>748.8</v>
      </c>
      <c r="N382" s="16">
        <v>0.79298513152878403</v>
      </c>
      <c r="O382" s="13" t="s">
        <v>354</v>
      </c>
    </row>
    <row r="383" spans="1:15" x14ac:dyDescent="0.25">
      <c r="A383" s="8" t="s">
        <v>422</v>
      </c>
      <c r="B383" s="71">
        <v>120</v>
      </c>
      <c r="C383" s="71">
        <v>2</v>
      </c>
      <c r="D383" s="71">
        <f t="shared" si="5"/>
        <v>60</v>
      </c>
      <c r="E383" s="71">
        <v>360</v>
      </c>
      <c r="F383" s="71">
        <f t="shared" si="6"/>
        <v>3</v>
      </c>
      <c r="G383" s="71">
        <v>945</v>
      </c>
      <c r="H383" s="71">
        <v>60</v>
      </c>
      <c r="I383" s="71">
        <v>47846</v>
      </c>
      <c r="J383" s="72" t="s">
        <v>68</v>
      </c>
      <c r="K383" s="71">
        <v>289.5</v>
      </c>
      <c r="L383" s="71">
        <v>32.6</v>
      </c>
      <c r="M383" s="71">
        <v>959.31</v>
      </c>
      <c r="N383" s="73">
        <v>0.88010899182561297</v>
      </c>
      <c r="O383" s="71" t="s">
        <v>354</v>
      </c>
    </row>
    <row r="384" spans="1:15" x14ac:dyDescent="0.25">
      <c r="A384" s="8" t="s">
        <v>423</v>
      </c>
      <c r="B384" s="32">
        <v>114</v>
      </c>
      <c r="C384" s="32">
        <v>2</v>
      </c>
      <c r="D384" s="32">
        <f t="shared" si="5"/>
        <v>57</v>
      </c>
      <c r="E384" s="32">
        <v>2000</v>
      </c>
      <c r="F384" s="32">
        <f t="shared" si="6"/>
        <v>17.543859649122808</v>
      </c>
      <c r="G384" s="32">
        <v>20</v>
      </c>
      <c r="H384" s="48">
        <v>0</v>
      </c>
      <c r="I384" s="32">
        <v>0</v>
      </c>
      <c r="J384" s="35" t="s">
        <v>16</v>
      </c>
      <c r="K384" s="32">
        <v>305.39999999999998</v>
      </c>
      <c r="L384" s="32">
        <v>25.6</v>
      </c>
      <c r="M384" s="32">
        <v>306.3</v>
      </c>
      <c r="N384" s="106" cm="1">
        <f t="array" ref="N384:N387">M384:M387/306.3</f>
        <v>1</v>
      </c>
      <c r="O384" s="32" t="s">
        <v>424</v>
      </c>
    </row>
    <row r="385" spans="1:15" x14ac:dyDescent="0.25">
      <c r="A385" s="8" t="s">
        <v>425</v>
      </c>
      <c r="B385" s="32">
        <v>114</v>
      </c>
      <c r="C385" s="32">
        <v>2</v>
      </c>
      <c r="D385" s="32">
        <f t="shared" si="5"/>
        <v>57</v>
      </c>
      <c r="E385" s="32">
        <v>2000</v>
      </c>
      <c r="F385" s="32">
        <f t="shared" si="6"/>
        <v>17.543859649122808</v>
      </c>
      <c r="G385" s="32">
        <v>739</v>
      </c>
      <c r="H385" s="48">
        <v>15</v>
      </c>
      <c r="I385" s="32">
        <v>8921</v>
      </c>
      <c r="J385" s="35" t="s">
        <v>21</v>
      </c>
      <c r="K385" s="32">
        <v>305.39999999999998</v>
      </c>
      <c r="L385" s="32">
        <v>25.6</v>
      </c>
      <c r="M385" s="32">
        <v>288</v>
      </c>
      <c r="N385" s="32">
        <v>0.94025465230166505</v>
      </c>
      <c r="O385" s="32" t="s">
        <v>424</v>
      </c>
    </row>
    <row r="386" spans="1:15" x14ac:dyDescent="0.25">
      <c r="A386" s="8" t="s">
        <v>426</v>
      </c>
      <c r="B386" s="32">
        <v>114</v>
      </c>
      <c r="C386" s="32">
        <v>2</v>
      </c>
      <c r="D386" s="32">
        <f t="shared" ref="D386:D389" si="7">B386/C386</f>
        <v>57</v>
      </c>
      <c r="E386" s="32">
        <v>2000</v>
      </c>
      <c r="F386" s="32">
        <f t="shared" ref="F386:F389" si="8">E386/B386</f>
        <v>17.543859649122808</v>
      </c>
      <c r="G386" s="32">
        <v>842</v>
      </c>
      <c r="H386" s="48">
        <v>30</v>
      </c>
      <c r="I386" s="32">
        <v>20862</v>
      </c>
      <c r="J386" s="35" t="s">
        <v>21</v>
      </c>
      <c r="K386" s="32">
        <v>305.39999999999998</v>
      </c>
      <c r="L386" s="32">
        <v>25.6</v>
      </c>
      <c r="M386" s="32">
        <v>184.7</v>
      </c>
      <c r="N386" s="32">
        <v>0.60300359125040803</v>
      </c>
      <c r="O386" s="32" t="s">
        <v>424</v>
      </c>
    </row>
    <row r="387" spans="1:15" x14ac:dyDescent="0.25">
      <c r="A387" s="8" t="s">
        <v>427</v>
      </c>
      <c r="B387" s="32">
        <v>114</v>
      </c>
      <c r="C387" s="32">
        <v>2</v>
      </c>
      <c r="D387" s="32">
        <f t="shared" si="7"/>
        <v>57</v>
      </c>
      <c r="E387" s="32">
        <v>2000</v>
      </c>
      <c r="F387" s="32">
        <f t="shared" si="8"/>
        <v>17.543859649122808</v>
      </c>
      <c r="G387" s="32">
        <v>902</v>
      </c>
      <c r="H387" s="48">
        <v>45</v>
      </c>
      <c r="I387" s="32">
        <v>33973</v>
      </c>
      <c r="J387" s="35" t="s">
        <v>21</v>
      </c>
      <c r="K387" s="32">
        <v>305.39999999999998</v>
      </c>
      <c r="L387" s="32">
        <v>25.6</v>
      </c>
      <c r="M387" s="32">
        <v>136.9</v>
      </c>
      <c r="N387" s="32">
        <v>0.44694743715311785</v>
      </c>
      <c r="O387" s="32" t="s">
        <v>424</v>
      </c>
    </row>
    <row r="388" spans="1:15" ht="28.8" x14ac:dyDescent="0.25">
      <c r="A388" s="8" t="s">
        <v>428</v>
      </c>
      <c r="B388" s="53">
        <v>87</v>
      </c>
      <c r="C388" s="53">
        <v>2.5</v>
      </c>
      <c r="D388" s="53">
        <f t="shared" si="7"/>
        <v>34.799999999999997</v>
      </c>
      <c r="E388" s="53">
        <v>440</v>
      </c>
      <c r="F388" s="53">
        <f t="shared" si="8"/>
        <v>5.0574712643678161</v>
      </c>
      <c r="G388" s="53">
        <v>20</v>
      </c>
      <c r="H388" s="54">
        <v>0</v>
      </c>
      <c r="I388" s="53">
        <v>0</v>
      </c>
      <c r="J388" s="70" t="s">
        <v>16</v>
      </c>
      <c r="K388" s="53">
        <v>357</v>
      </c>
      <c r="L388" s="53">
        <v>43.92</v>
      </c>
      <c r="M388" s="53">
        <v>514.29999999999995</v>
      </c>
      <c r="N388" s="107" cm="1">
        <f t="array" ref="N388:N393">M388:M393/514.3</f>
        <v>1</v>
      </c>
      <c r="O388" s="70" t="s">
        <v>429</v>
      </c>
    </row>
    <row r="389" spans="1:15" ht="28.8" x14ac:dyDescent="0.25">
      <c r="A389" s="8" t="s">
        <v>430</v>
      </c>
      <c r="B389" s="53">
        <v>87</v>
      </c>
      <c r="C389" s="53">
        <v>2.5</v>
      </c>
      <c r="D389" s="53">
        <f t="shared" si="7"/>
        <v>34.799999999999997</v>
      </c>
      <c r="E389" s="53">
        <v>440</v>
      </c>
      <c r="F389" s="53">
        <f t="shared" si="8"/>
        <v>5.0574712643678161</v>
      </c>
      <c r="G389" s="53">
        <v>200</v>
      </c>
      <c r="H389" s="54">
        <v>85</v>
      </c>
      <c r="I389" s="53">
        <v>14475</v>
      </c>
      <c r="J389" s="70" t="s">
        <v>21</v>
      </c>
      <c r="K389" s="53">
        <v>357</v>
      </c>
      <c r="L389" s="53">
        <v>43.92</v>
      </c>
      <c r="M389" s="53">
        <v>466.6</v>
      </c>
      <c r="N389" s="53">
        <v>0.90725257631732459</v>
      </c>
      <c r="O389" s="70" t="s">
        <v>429</v>
      </c>
    </row>
    <row r="390" spans="1:15" ht="28.8" x14ac:dyDescent="0.25">
      <c r="A390" s="8" t="s">
        <v>431</v>
      </c>
      <c r="B390" s="53">
        <v>87</v>
      </c>
      <c r="C390" s="53">
        <v>2.5</v>
      </c>
      <c r="D390" s="53">
        <f t="shared" ref="D390:D407" si="9">B390/C390</f>
        <v>34.799999999999997</v>
      </c>
      <c r="E390" s="53">
        <v>440</v>
      </c>
      <c r="F390" s="53">
        <f t="shared" ref="F390:F407" si="10">E390/B390</f>
        <v>5.0574712643678161</v>
      </c>
      <c r="G390" s="53">
        <v>400</v>
      </c>
      <c r="H390" s="54">
        <v>110</v>
      </c>
      <c r="I390" s="53">
        <v>33975</v>
      </c>
      <c r="J390" s="70" t="s">
        <v>21</v>
      </c>
      <c r="K390" s="53">
        <v>357</v>
      </c>
      <c r="L390" s="53">
        <v>43.92</v>
      </c>
      <c r="M390" s="53">
        <v>550.9</v>
      </c>
      <c r="N390" s="53">
        <v>1.0711646898697258</v>
      </c>
      <c r="O390" s="70" t="s">
        <v>429</v>
      </c>
    </row>
    <row r="391" spans="1:15" ht="28.8" x14ac:dyDescent="0.25">
      <c r="A391" s="8" t="s">
        <v>432</v>
      </c>
      <c r="B391" s="53">
        <v>87</v>
      </c>
      <c r="C391" s="53">
        <v>2.5</v>
      </c>
      <c r="D391" s="53">
        <f t="shared" si="9"/>
        <v>34.799999999999997</v>
      </c>
      <c r="E391" s="53">
        <v>440</v>
      </c>
      <c r="F391" s="53">
        <f t="shared" si="10"/>
        <v>5.0574712643678161</v>
      </c>
      <c r="G391" s="53">
        <v>600</v>
      </c>
      <c r="H391" s="54">
        <v>135</v>
      </c>
      <c r="I391" s="53">
        <v>58475</v>
      </c>
      <c r="J391" s="70" t="s">
        <v>21</v>
      </c>
      <c r="K391" s="53">
        <v>357</v>
      </c>
      <c r="L391" s="53">
        <v>43.92</v>
      </c>
      <c r="M391" s="53">
        <v>483.2</v>
      </c>
      <c r="N391" s="53">
        <v>0.93952945751506911</v>
      </c>
      <c r="O391" s="70" t="s">
        <v>429</v>
      </c>
    </row>
    <row r="392" spans="1:15" ht="28.8" x14ac:dyDescent="0.25">
      <c r="A392" s="8" t="s">
        <v>433</v>
      </c>
      <c r="B392" s="53">
        <v>87</v>
      </c>
      <c r="C392" s="53">
        <v>2.5</v>
      </c>
      <c r="D392" s="53">
        <f t="shared" si="9"/>
        <v>34.799999999999997</v>
      </c>
      <c r="E392" s="53">
        <v>440</v>
      </c>
      <c r="F392" s="53">
        <f t="shared" si="10"/>
        <v>5.0574712643678161</v>
      </c>
      <c r="G392" s="53">
        <v>600</v>
      </c>
      <c r="H392" s="54">
        <v>85</v>
      </c>
      <c r="I392" s="53">
        <v>28475</v>
      </c>
      <c r="J392" s="70" t="s">
        <v>21</v>
      </c>
      <c r="K392" s="53">
        <v>357</v>
      </c>
      <c r="L392" s="53">
        <v>43.92</v>
      </c>
      <c r="M392" s="53">
        <v>444.5</v>
      </c>
      <c r="N392" s="53">
        <v>0.86428154773478527</v>
      </c>
      <c r="O392" s="70" t="s">
        <v>429</v>
      </c>
    </row>
    <row r="393" spans="1:15" ht="28.8" x14ac:dyDescent="0.25">
      <c r="A393" s="8" t="s">
        <v>434</v>
      </c>
      <c r="B393" s="53">
        <v>87</v>
      </c>
      <c r="C393" s="53">
        <v>2.5</v>
      </c>
      <c r="D393" s="53">
        <f t="shared" si="9"/>
        <v>34.799999999999997</v>
      </c>
      <c r="E393" s="53">
        <v>440</v>
      </c>
      <c r="F393" s="53">
        <f t="shared" si="10"/>
        <v>5.0574712643678161</v>
      </c>
      <c r="G393" s="53">
        <v>600</v>
      </c>
      <c r="H393" s="54">
        <v>255</v>
      </c>
      <c r="I393" s="53">
        <v>130475</v>
      </c>
      <c r="J393" s="70" t="s">
        <v>21</v>
      </c>
      <c r="K393" s="53">
        <v>357</v>
      </c>
      <c r="L393" s="53">
        <v>43.92</v>
      </c>
      <c r="M393" s="53">
        <v>430.4</v>
      </c>
      <c r="N393" s="53">
        <v>0.83686564262103835</v>
      </c>
      <c r="O393" s="70" t="s">
        <v>429</v>
      </c>
    </row>
    <row r="394" spans="1:15" ht="28.8" x14ac:dyDescent="0.25">
      <c r="A394" s="8" t="s">
        <v>435</v>
      </c>
      <c r="B394" s="53">
        <v>87</v>
      </c>
      <c r="C394" s="53">
        <v>2.5</v>
      </c>
      <c r="D394" s="53">
        <f t="shared" si="9"/>
        <v>34.799999999999997</v>
      </c>
      <c r="E394" s="53">
        <v>440</v>
      </c>
      <c r="F394" s="53">
        <f t="shared" si="10"/>
        <v>5.0574712643678161</v>
      </c>
      <c r="G394" s="53">
        <v>20</v>
      </c>
      <c r="H394" s="54">
        <v>0</v>
      </c>
      <c r="I394" s="53">
        <v>0</v>
      </c>
      <c r="J394" s="70" t="s">
        <v>16</v>
      </c>
      <c r="K394" s="53">
        <v>357</v>
      </c>
      <c r="L394" s="53">
        <v>45.77</v>
      </c>
      <c r="M394" s="53">
        <v>513.1</v>
      </c>
      <c r="N394" s="107" cm="1">
        <f t="array" ref="N394:N397">M394:M397/513.1</f>
        <v>1</v>
      </c>
      <c r="O394" s="70" t="s">
        <v>429</v>
      </c>
    </row>
    <row r="395" spans="1:15" ht="28.8" x14ac:dyDescent="0.25">
      <c r="A395" s="8" t="s">
        <v>436</v>
      </c>
      <c r="B395" s="53">
        <v>87</v>
      </c>
      <c r="C395" s="53">
        <v>2.5</v>
      </c>
      <c r="D395" s="53">
        <f t="shared" si="9"/>
        <v>34.799999999999997</v>
      </c>
      <c r="E395" s="53">
        <v>440</v>
      </c>
      <c r="F395" s="53">
        <f t="shared" si="10"/>
        <v>5.0574712643678161</v>
      </c>
      <c r="G395" s="53">
        <v>200</v>
      </c>
      <c r="H395" s="54">
        <v>85</v>
      </c>
      <c r="I395" s="53">
        <v>14475</v>
      </c>
      <c r="J395" s="70" t="s">
        <v>21</v>
      </c>
      <c r="K395" s="53">
        <v>357</v>
      </c>
      <c r="L395" s="53">
        <v>45.77</v>
      </c>
      <c r="M395" s="53">
        <v>499.3</v>
      </c>
      <c r="N395" s="53">
        <v>0.97310465796141099</v>
      </c>
      <c r="O395" s="70" t="s">
        <v>429</v>
      </c>
    </row>
    <row r="396" spans="1:15" ht="28.8" x14ac:dyDescent="0.25">
      <c r="A396" s="8" t="s">
        <v>437</v>
      </c>
      <c r="B396" s="53">
        <v>87</v>
      </c>
      <c r="C396" s="53">
        <v>2.5</v>
      </c>
      <c r="D396" s="53">
        <f t="shared" si="9"/>
        <v>34.799999999999997</v>
      </c>
      <c r="E396" s="53">
        <v>440</v>
      </c>
      <c r="F396" s="53">
        <f t="shared" si="10"/>
        <v>5.0574712643678161</v>
      </c>
      <c r="G396" s="53">
        <v>400</v>
      </c>
      <c r="H396" s="54">
        <v>110</v>
      </c>
      <c r="I396" s="53">
        <v>33975</v>
      </c>
      <c r="J396" s="70" t="s">
        <v>21</v>
      </c>
      <c r="K396" s="53">
        <v>357</v>
      </c>
      <c r="L396" s="53">
        <v>45.77</v>
      </c>
      <c r="M396" s="53">
        <v>580.4</v>
      </c>
      <c r="N396" s="53">
        <v>1.1311635158838431</v>
      </c>
      <c r="O396" s="70" t="s">
        <v>429</v>
      </c>
    </row>
    <row r="397" spans="1:15" ht="28.8" x14ac:dyDescent="0.25">
      <c r="A397" s="8" t="s">
        <v>438</v>
      </c>
      <c r="B397" s="53">
        <v>87</v>
      </c>
      <c r="C397" s="53">
        <v>2.5</v>
      </c>
      <c r="D397" s="53">
        <f t="shared" si="9"/>
        <v>34.799999999999997</v>
      </c>
      <c r="E397" s="53">
        <v>440</v>
      </c>
      <c r="F397" s="53">
        <f t="shared" si="10"/>
        <v>5.0574712643678161</v>
      </c>
      <c r="G397" s="53">
        <v>600</v>
      </c>
      <c r="H397" s="54">
        <v>135</v>
      </c>
      <c r="I397" s="53">
        <v>58475</v>
      </c>
      <c r="J397" s="70" t="s">
        <v>21</v>
      </c>
      <c r="K397" s="53">
        <v>357</v>
      </c>
      <c r="L397" s="53">
        <v>45.77</v>
      </c>
      <c r="M397" s="53">
        <v>441.5</v>
      </c>
      <c r="N397" s="53">
        <v>0.86045605145195869</v>
      </c>
      <c r="O397" s="70" t="s">
        <v>429</v>
      </c>
    </row>
    <row r="398" spans="1:15" ht="28.8" x14ac:dyDescent="0.25">
      <c r="A398" s="8" t="s">
        <v>439</v>
      </c>
      <c r="B398" s="53">
        <v>87</v>
      </c>
      <c r="C398" s="53">
        <v>2.5</v>
      </c>
      <c r="D398" s="53">
        <f t="shared" si="9"/>
        <v>34.799999999999997</v>
      </c>
      <c r="E398" s="53">
        <v>440</v>
      </c>
      <c r="F398" s="53">
        <f t="shared" si="10"/>
        <v>5.0574712643678161</v>
      </c>
      <c r="G398" s="53">
        <v>20</v>
      </c>
      <c r="H398" s="54">
        <v>0</v>
      </c>
      <c r="I398" s="53">
        <v>0</v>
      </c>
      <c r="J398" s="70" t="s">
        <v>16</v>
      </c>
      <c r="K398" s="53">
        <v>357</v>
      </c>
      <c r="L398" s="53">
        <v>44.06</v>
      </c>
      <c r="M398" s="53">
        <v>526.70000000000005</v>
      </c>
      <c r="N398" s="107" cm="1">
        <f t="array" ref="N398:N401">M398:M401/526.7</f>
        <v>1</v>
      </c>
      <c r="O398" s="70" t="s">
        <v>429</v>
      </c>
    </row>
    <row r="399" spans="1:15" ht="28.8" x14ac:dyDescent="0.25">
      <c r="A399" s="8" t="s">
        <v>440</v>
      </c>
      <c r="B399" s="53">
        <v>87</v>
      </c>
      <c r="C399" s="53">
        <v>2.5</v>
      </c>
      <c r="D399" s="53">
        <f t="shared" si="9"/>
        <v>34.799999999999997</v>
      </c>
      <c r="E399" s="53">
        <v>440</v>
      </c>
      <c r="F399" s="53">
        <f t="shared" si="10"/>
        <v>5.0574712643678161</v>
      </c>
      <c r="G399" s="53">
        <v>200</v>
      </c>
      <c r="H399" s="54">
        <v>85</v>
      </c>
      <c r="I399" s="53">
        <v>14475</v>
      </c>
      <c r="J399" s="70" t="s">
        <v>21</v>
      </c>
      <c r="K399" s="53">
        <v>357</v>
      </c>
      <c r="L399" s="53">
        <v>44.06</v>
      </c>
      <c r="M399" s="53">
        <v>468.8</v>
      </c>
      <c r="N399" s="53">
        <v>0.89007024871843554</v>
      </c>
      <c r="O399" s="70" t="s">
        <v>429</v>
      </c>
    </row>
    <row r="400" spans="1:15" ht="28.8" x14ac:dyDescent="0.25">
      <c r="A400" s="8" t="s">
        <v>441</v>
      </c>
      <c r="B400" s="53">
        <v>87</v>
      </c>
      <c r="C400" s="53">
        <v>2.5</v>
      </c>
      <c r="D400" s="53">
        <f t="shared" si="9"/>
        <v>34.799999999999997</v>
      </c>
      <c r="E400" s="53">
        <v>440</v>
      </c>
      <c r="F400" s="53">
        <f t="shared" si="10"/>
        <v>5.0574712643678161</v>
      </c>
      <c r="G400" s="53">
        <v>400</v>
      </c>
      <c r="H400" s="54">
        <v>110</v>
      </c>
      <c r="I400" s="53">
        <v>33975</v>
      </c>
      <c r="J400" s="70" t="s">
        <v>21</v>
      </c>
      <c r="K400" s="53">
        <v>357</v>
      </c>
      <c r="L400" s="53">
        <v>44.06</v>
      </c>
      <c r="M400" s="53">
        <v>510.3</v>
      </c>
      <c r="N400" s="53">
        <v>0.96886273020694891</v>
      </c>
      <c r="O400" s="70" t="s">
        <v>429</v>
      </c>
    </row>
    <row r="401" spans="1:15" ht="28.8" x14ac:dyDescent="0.25">
      <c r="A401" s="8" t="s">
        <v>442</v>
      </c>
      <c r="B401" s="53">
        <v>87</v>
      </c>
      <c r="C401" s="53">
        <v>2.5</v>
      </c>
      <c r="D401" s="53">
        <f t="shared" si="9"/>
        <v>34.799999999999997</v>
      </c>
      <c r="E401" s="53">
        <v>440</v>
      </c>
      <c r="F401" s="53">
        <f t="shared" si="10"/>
        <v>5.0574712643678161</v>
      </c>
      <c r="G401" s="53">
        <v>600</v>
      </c>
      <c r="H401" s="54">
        <v>135</v>
      </c>
      <c r="I401" s="53">
        <v>58475</v>
      </c>
      <c r="J401" s="70" t="s">
        <v>21</v>
      </c>
      <c r="K401" s="53">
        <v>357</v>
      </c>
      <c r="L401" s="53">
        <v>44.06</v>
      </c>
      <c r="M401" s="53">
        <v>435.8</v>
      </c>
      <c r="N401" s="53">
        <v>0.82741598632997904</v>
      </c>
      <c r="O401" s="70" t="s">
        <v>429</v>
      </c>
    </row>
    <row r="402" spans="1:15" ht="28.8" x14ac:dyDescent="0.25">
      <c r="A402" s="8" t="s">
        <v>443</v>
      </c>
      <c r="B402" s="53">
        <v>87</v>
      </c>
      <c r="C402" s="53">
        <v>2.5</v>
      </c>
      <c r="D402" s="53">
        <f t="shared" si="9"/>
        <v>34.799999999999997</v>
      </c>
      <c r="E402" s="53">
        <v>440</v>
      </c>
      <c r="F402" s="53">
        <f t="shared" si="10"/>
        <v>5.0574712643678161</v>
      </c>
      <c r="G402" s="53">
        <v>20</v>
      </c>
      <c r="H402" s="54">
        <v>0</v>
      </c>
      <c r="I402" s="53">
        <v>0</v>
      </c>
      <c r="J402" s="70" t="s">
        <v>16</v>
      </c>
      <c r="K402" s="53">
        <v>357</v>
      </c>
      <c r="L402" s="53">
        <v>48.68</v>
      </c>
      <c r="M402" s="53">
        <v>538.5</v>
      </c>
      <c r="N402" s="107" cm="1">
        <f t="array" ref="N402:N407">M402:M407/538.5</f>
        <v>1</v>
      </c>
      <c r="O402" s="70" t="s">
        <v>429</v>
      </c>
    </row>
    <row r="403" spans="1:15" ht="28.8" x14ac:dyDescent="0.25">
      <c r="A403" s="8" t="s">
        <v>444</v>
      </c>
      <c r="B403" s="53">
        <v>87</v>
      </c>
      <c r="C403" s="53">
        <v>2.5</v>
      </c>
      <c r="D403" s="53">
        <f t="shared" si="9"/>
        <v>34.799999999999997</v>
      </c>
      <c r="E403" s="53">
        <v>440</v>
      </c>
      <c r="F403" s="53">
        <f t="shared" si="10"/>
        <v>5.0574712643678161</v>
      </c>
      <c r="G403" s="53">
        <v>200</v>
      </c>
      <c r="H403" s="54">
        <v>85</v>
      </c>
      <c r="I403" s="53">
        <v>14475</v>
      </c>
      <c r="J403" s="70" t="s">
        <v>21</v>
      </c>
      <c r="K403" s="53">
        <v>357</v>
      </c>
      <c r="L403" s="53">
        <v>48.68</v>
      </c>
      <c r="M403" s="53">
        <v>467.6</v>
      </c>
      <c r="N403" s="53">
        <v>0.86833797585886729</v>
      </c>
      <c r="O403" s="70" t="s">
        <v>429</v>
      </c>
    </row>
    <row r="404" spans="1:15" ht="28.8" x14ac:dyDescent="0.25">
      <c r="A404" s="8" t="s">
        <v>445</v>
      </c>
      <c r="B404" s="53">
        <v>87</v>
      </c>
      <c r="C404" s="53">
        <v>2.5</v>
      </c>
      <c r="D404" s="53">
        <f t="shared" si="9"/>
        <v>34.799999999999997</v>
      </c>
      <c r="E404" s="53">
        <v>440</v>
      </c>
      <c r="F404" s="53">
        <f t="shared" si="10"/>
        <v>5.0574712643678161</v>
      </c>
      <c r="G404" s="53">
        <v>400</v>
      </c>
      <c r="H404" s="54">
        <v>110</v>
      </c>
      <c r="I404" s="53">
        <v>33975</v>
      </c>
      <c r="J404" s="70" t="s">
        <v>21</v>
      </c>
      <c r="K404" s="53">
        <v>357</v>
      </c>
      <c r="L404" s="53">
        <v>48.68</v>
      </c>
      <c r="M404" s="74">
        <v>557</v>
      </c>
      <c r="N404" s="53">
        <v>1.0343546889507893</v>
      </c>
      <c r="O404" s="70" t="s">
        <v>429</v>
      </c>
    </row>
    <row r="405" spans="1:15" ht="28.8" x14ac:dyDescent="0.25">
      <c r="A405" s="8" t="s">
        <v>446</v>
      </c>
      <c r="B405" s="53">
        <v>87</v>
      </c>
      <c r="C405" s="53">
        <v>2.5</v>
      </c>
      <c r="D405" s="53">
        <f t="shared" si="9"/>
        <v>34.799999999999997</v>
      </c>
      <c r="E405" s="53">
        <v>440</v>
      </c>
      <c r="F405" s="53">
        <f t="shared" si="10"/>
        <v>5.0574712643678161</v>
      </c>
      <c r="G405" s="53">
        <v>600</v>
      </c>
      <c r="H405" s="54">
        <v>135</v>
      </c>
      <c r="I405" s="53">
        <v>58475</v>
      </c>
      <c r="J405" s="70" t="s">
        <v>21</v>
      </c>
      <c r="K405" s="53">
        <v>357</v>
      </c>
      <c r="L405" s="53">
        <v>48.68</v>
      </c>
      <c r="M405" s="74">
        <v>440</v>
      </c>
      <c r="N405" s="53">
        <v>0.81708449396471683</v>
      </c>
      <c r="O405" s="70" t="s">
        <v>429</v>
      </c>
    </row>
    <row r="406" spans="1:15" ht="28.8" x14ac:dyDescent="0.25">
      <c r="A406" s="8" t="s">
        <v>447</v>
      </c>
      <c r="B406" s="53">
        <v>87</v>
      </c>
      <c r="C406" s="53">
        <v>2.5</v>
      </c>
      <c r="D406" s="53">
        <f t="shared" si="9"/>
        <v>34.799999999999997</v>
      </c>
      <c r="E406" s="53">
        <v>440</v>
      </c>
      <c r="F406" s="53">
        <f t="shared" si="10"/>
        <v>5.0574712643678161</v>
      </c>
      <c r="G406" s="53">
        <v>600</v>
      </c>
      <c r="H406" s="54">
        <v>85</v>
      </c>
      <c r="I406" s="53">
        <v>28475</v>
      </c>
      <c r="J406" s="70" t="s">
        <v>21</v>
      </c>
      <c r="K406" s="53">
        <v>357</v>
      </c>
      <c r="L406" s="53">
        <v>48.68</v>
      </c>
      <c r="M406" s="53">
        <v>427</v>
      </c>
      <c r="N406" s="53">
        <v>0.79294336118848652</v>
      </c>
      <c r="O406" s="70" t="s">
        <v>429</v>
      </c>
    </row>
    <row r="407" spans="1:15" ht="28.8" x14ac:dyDescent="0.25">
      <c r="A407" s="8" t="s">
        <v>448</v>
      </c>
      <c r="B407" s="75">
        <v>87</v>
      </c>
      <c r="C407" s="75">
        <v>2.5</v>
      </c>
      <c r="D407" s="75">
        <f t="shared" si="9"/>
        <v>34.799999999999997</v>
      </c>
      <c r="E407" s="75">
        <v>440</v>
      </c>
      <c r="F407" s="75">
        <f t="shared" si="10"/>
        <v>5.0574712643678161</v>
      </c>
      <c r="G407" s="75">
        <v>600</v>
      </c>
      <c r="H407" s="76">
        <v>255</v>
      </c>
      <c r="I407" s="75">
        <v>130475</v>
      </c>
      <c r="J407" s="77" t="s">
        <v>21</v>
      </c>
      <c r="K407" s="75">
        <v>357</v>
      </c>
      <c r="L407" s="75">
        <v>48.68</v>
      </c>
      <c r="M407" s="75">
        <v>400.7</v>
      </c>
      <c r="N407" s="75">
        <v>0.74410399257195914</v>
      </c>
      <c r="O407" s="77" t="s">
        <v>429</v>
      </c>
    </row>
    <row r="408" spans="1:15" x14ac:dyDescent="0.25">
      <c r="A408" s="8" t="s">
        <v>449</v>
      </c>
      <c r="B408" s="32">
        <v>158</v>
      </c>
      <c r="C408" s="32">
        <v>4</v>
      </c>
      <c r="D408" s="32" cm="1">
        <f t="array" ref="D408:D426">B408:B426/C408:C426</f>
        <v>39.5</v>
      </c>
      <c r="E408" s="32">
        <v>400</v>
      </c>
      <c r="F408" s="32" cm="1">
        <f t="array" ref="F408:F426">E408:E426/B408:B426</f>
        <v>2.5316455696202533</v>
      </c>
      <c r="G408" s="32">
        <v>20</v>
      </c>
      <c r="H408" s="48">
        <v>0</v>
      </c>
      <c r="I408" s="32">
        <v>0</v>
      </c>
      <c r="J408" s="35" t="s">
        <v>16</v>
      </c>
      <c r="K408" s="32">
        <v>329.1</v>
      </c>
      <c r="L408" s="32">
        <v>63</v>
      </c>
      <c r="M408" s="32">
        <v>2147.5</v>
      </c>
      <c r="N408" s="106">
        <v>1</v>
      </c>
      <c r="O408" s="35" t="s">
        <v>450</v>
      </c>
    </row>
    <row r="409" spans="1:15" x14ac:dyDescent="0.25">
      <c r="A409" s="8" t="s">
        <v>451</v>
      </c>
      <c r="B409" s="32">
        <v>158</v>
      </c>
      <c r="C409" s="32">
        <v>4</v>
      </c>
      <c r="D409" s="32">
        <v>39.5</v>
      </c>
      <c r="E409" s="32">
        <v>400</v>
      </c>
      <c r="F409" s="32">
        <v>2.5316455696202533</v>
      </c>
      <c r="G409" s="32">
        <v>200</v>
      </c>
      <c r="H409" s="48">
        <v>60</v>
      </c>
      <c r="I409" s="32">
        <v>12700</v>
      </c>
      <c r="J409" s="35" t="s">
        <v>68</v>
      </c>
      <c r="K409" s="32">
        <v>329.1</v>
      </c>
      <c r="L409" s="32">
        <v>63</v>
      </c>
      <c r="M409" s="32">
        <v>2160.5</v>
      </c>
      <c r="N409" s="32" cm="1">
        <f t="array" ref="N409:N412">M409:M412/M408</f>
        <v>1.0060535506402795</v>
      </c>
      <c r="O409" s="35" t="s">
        <v>450</v>
      </c>
    </row>
    <row r="410" spans="1:15" x14ac:dyDescent="0.25">
      <c r="A410" s="8" t="s">
        <v>452</v>
      </c>
      <c r="B410" s="32">
        <v>158</v>
      </c>
      <c r="C410" s="32">
        <v>4</v>
      </c>
      <c r="D410" s="32">
        <v>39.5</v>
      </c>
      <c r="E410" s="32">
        <v>400</v>
      </c>
      <c r="F410" s="32">
        <v>2.5316455696202533</v>
      </c>
      <c r="G410" s="32">
        <v>400</v>
      </c>
      <c r="H410" s="48">
        <v>60</v>
      </c>
      <c r="I410" s="32">
        <v>30400</v>
      </c>
      <c r="J410" s="35" t="s">
        <v>68</v>
      </c>
      <c r="K410" s="32">
        <v>329.1</v>
      </c>
      <c r="L410" s="32">
        <v>63</v>
      </c>
      <c r="M410" s="32">
        <v>2078.5</v>
      </c>
      <c r="N410" s="32">
        <v>0.96786961583236319</v>
      </c>
      <c r="O410" s="35" t="s">
        <v>450</v>
      </c>
    </row>
    <row r="411" spans="1:15" x14ac:dyDescent="0.25">
      <c r="A411" s="8" t="s">
        <v>453</v>
      </c>
      <c r="B411" s="32">
        <v>158</v>
      </c>
      <c r="C411" s="32">
        <v>4</v>
      </c>
      <c r="D411" s="32">
        <v>39.5</v>
      </c>
      <c r="E411" s="32">
        <v>400</v>
      </c>
      <c r="F411" s="78">
        <v>2.5316455696202533</v>
      </c>
      <c r="G411" s="32">
        <v>600</v>
      </c>
      <c r="H411" s="48">
        <v>60</v>
      </c>
      <c r="I411" s="32">
        <v>81200</v>
      </c>
      <c r="J411" s="35" t="s">
        <v>68</v>
      </c>
      <c r="K411" s="32">
        <v>329.1</v>
      </c>
      <c r="L411" s="32">
        <v>63</v>
      </c>
      <c r="M411" s="78">
        <v>1781</v>
      </c>
      <c r="N411" s="78">
        <v>0.82933643771827703</v>
      </c>
      <c r="O411" s="35" t="s">
        <v>450</v>
      </c>
    </row>
    <row r="412" spans="1:15" x14ac:dyDescent="0.25">
      <c r="A412" s="8" t="s">
        <v>454</v>
      </c>
      <c r="B412" s="32">
        <v>158</v>
      </c>
      <c r="C412" s="32">
        <v>4</v>
      </c>
      <c r="D412" s="32">
        <v>39.5</v>
      </c>
      <c r="E412" s="32">
        <v>400</v>
      </c>
      <c r="F412" s="78">
        <v>2.5316455696202533</v>
      </c>
      <c r="G412" s="32">
        <v>800</v>
      </c>
      <c r="H412" s="48">
        <v>60</v>
      </c>
      <c r="I412" s="32">
        <v>121000</v>
      </c>
      <c r="J412" s="35" t="s">
        <v>68</v>
      </c>
      <c r="K412" s="32">
        <v>329.1</v>
      </c>
      <c r="L412" s="32">
        <v>63</v>
      </c>
      <c r="M412" s="78">
        <v>1356</v>
      </c>
      <c r="N412" s="78">
        <v>0.63143189755529683</v>
      </c>
      <c r="O412" s="35" t="s">
        <v>450</v>
      </c>
    </row>
    <row r="413" spans="1:15" x14ac:dyDescent="0.25">
      <c r="A413" s="8" t="s">
        <v>455</v>
      </c>
      <c r="B413" s="32">
        <v>158</v>
      </c>
      <c r="C413" s="32">
        <v>4</v>
      </c>
      <c r="D413" s="32">
        <v>39.5</v>
      </c>
      <c r="E413" s="32">
        <v>400</v>
      </c>
      <c r="F413" s="78">
        <v>2.5316455696202533</v>
      </c>
      <c r="G413" s="32">
        <v>20</v>
      </c>
      <c r="H413" s="48">
        <v>0</v>
      </c>
      <c r="I413" s="32">
        <v>0</v>
      </c>
      <c r="J413" s="35" t="s">
        <v>16</v>
      </c>
      <c r="K413" s="32">
        <v>329.1</v>
      </c>
      <c r="L413" s="78">
        <v>72.44</v>
      </c>
      <c r="M413" s="78">
        <v>2185.5</v>
      </c>
      <c r="N413" s="108">
        <v>1</v>
      </c>
      <c r="O413" s="35" t="s">
        <v>450</v>
      </c>
    </row>
    <row r="414" spans="1:15" x14ac:dyDescent="0.25">
      <c r="A414" s="8" t="s">
        <v>456</v>
      </c>
      <c r="B414" s="32">
        <v>158</v>
      </c>
      <c r="C414" s="32">
        <v>4</v>
      </c>
      <c r="D414" s="32">
        <v>39.5</v>
      </c>
      <c r="E414" s="32">
        <v>400</v>
      </c>
      <c r="F414" s="78">
        <v>2.5316455696202533</v>
      </c>
      <c r="G414" s="32">
        <v>200</v>
      </c>
      <c r="H414" s="48">
        <v>60</v>
      </c>
      <c r="I414" s="32">
        <v>12700</v>
      </c>
      <c r="J414" s="35" t="s">
        <v>68</v>
      </c>
      <c r="K414" s="32">
        <v>329.1</v>
      </c>
      <c r="L414" s="78">
        <v>72.44</v>
      </c>
      <c r="M414" s="78">
        <v>2414</v>
      </c>
      <c r="N414" s="78" cm="1">
        <f t="array" ref="N414:N417">M414:M417/M413</f>
        <v>1.1045527339281629</v>
      </c>
      <c r="O414" s="35" t="s">
        <v>450</v>
      </c>
    </row>
    <row r="415" spans="1:15" x14ac:dyDescent="0.25">
      <c r="A415" s="8" t="s">
        <v>457</v>
      </c>
      <c r="B415" s="32">
        <v>158</v>
      </c>
      <c r="C415" s="32">
        <v>4</v>
      </c>
      <c r="D415" s="32">
        <v>39.5</v>
      </c>
      <c r="E415" s="32">
        <v>400</v>
      </c>
      <c r="F415" s="78">
        <v>2.5316455696202533</v>
      </c>
      <c r="G415" s="32">
        <v>400</v>
      </c>
      <c r="H415" s="48">
        <v>60</v>
      </c>
      <c r="I415" s="32">
        <v>30400</v>
      </c>
      <c r="J415" s="35" t="s">
        <v>68</v>
      </c>
      <c r="K415" s="32">
        <v>329.1</v>
      </c>
      <c r="L415" s="78">
        <v>72.44</v>
      </c>
      <c r="M415" s="78">
        <v>2357.5</v>
      </c>
      <c r="N415" s="78">
        <v>1.0787005261953786</v>
      </c>
      <c r="O415" s="35" t="s">
        <v>450</v>
      </c>
    </row>
    <row r="416" spans="1:15" x14ac:dyDescent="0.25">
      <c r="A416" s="8" t="s">
        <v>458</v>
      </c>
      <c r="B416" s="32">
        <v>158</v>
      </c>
      <c r="C416" s="32">
        <v>4</v>
      </c>
      <c r="D416" s="32">
        <v>39.5</v>
      </c>
      <c r="E416" s="32">
        <v>400</v>
      </c>
      <c r="F416" s="78">
        <v>2.5316455696202533</v>
      </c>
      <c r="G416" s="32">
        <v>600</v>
      </c>
      <c r="H416" s="48">
        <v>60</v>
      </c>
      <c r="I416" s="32">
        <v>81200</v>
      </c>
      <c r="J416" s="35" t="s">
        <v>68</v>
      </c>
      <c r="K416" s="32">
        <v>329.1</v>
      </c>
      <c r="L416" s="78">
        <v>72.44</v>
      </c>
      <c r="M416" s="78">
        <v>1871</v>
      </c>
      <c r="N416" s="78">
        <v>0.85609700297414781</v>
      </c>
      <c r="O416" s="35" t="s">
        <v>450</v>
      </c>
    </row>
    <row r="417" spans="1:15" x14ac:dyDescent="0.25">
      <c r="A417" s="8" t="s">
        <v>459</v>
      </c>
      <c r="B417" s="32">
        <v>158</v>
      </c>
      <c r="C417" s="32">
        <v>4</v>
      </c>
      <c r="D417" s="32">
        <v>39.5</v>
      </c>
      <c r="E417" s="32">
        <v>400</v>
      </c>
      <c r="F417" s="78">
        <v>2.5316455696202533</v>
      </c>
      <c r="G417" s="32">
        <v>800</v>
      </c>
      <c r="H417" s="48">
        <v>60</v>
      </c>
      <c r="I417" s="32">
        <v>121000</v>
      </c>
      <c r="J417" s="35" t="s">
        <v>68</v>
      </c>
      <c r="K417" s="32">
        <v>329.1</v>
      </c>
      <c r="L417" s="78">
        <v>72.44</v>
      </c>
      <c r="M417" s="78">
        <v>1441</v>
      </c>
      <c r="N417" s="78">
        <v>0.65934568748570122</v>
      </c>
      <c r="O417" s="35" t="s">
        <v>450</v>
      </c>
    </row>
    <row r="418" spans="1:15" x14ac:dyDescent="0.25">
      <c r="A418" s="8" t="s">
        <v>460</v>
      </c>
      <c r="B418" s="32">
        <v>158</v>
      </c>
      <c r="C418" s="32">
        <v>4</v>
      </c>
      <c r="D418" s="32">
        <v>39.5</v>
      </c>
      <c r="E418" s="32">
        <v>400</v>
      </c>
      <c r="F418" s="78">
        <v>2.5316455696202533</v>
      </c>
      <c r="G418" s="32">
        <v>20</v>
      </c>
      <c r="H418" s="48">
        <v>0</v>
      </c>
      <c r="I418" s="32">
        <v>0</v>
      </c>
      <c r="J418" s="35" t="s">
        <v>16</v>
      </c>
      <c r="K418" s="32">
        <v>329.1</v>
      </c>
      <c r="L418" s="78">
        <v>76.3</v>
      </c>
      <c r="M418" s="78">
        <v>2535.5</v>
      </c>
      <c r="N418" s="108">
        <v>1</v>
      </c>
      <c r="O418" s="35" t="s">
        <v>450</v>
      </c>
    </row>
    <row r="419" spans="1:15" x14ac:dyDescent="0.25">
      <c r="A419" s="8" t="s">
        <v>461</v>
      </c>
      <c r="B419" s="32">
        <v>158</v>
      </c>
      <c r="C419" s="32">
        <v>4</v>
      </c>
      <c r="D419" s="32">
        <v>39.5</v>
      </c>
      <c r="E419" s="32">
        <v>400</v>
      </c>
      <c r="F419" s="78">
        <v>2.5316455696202533</v>
      </c>
      <c r="G419" s="32">
        <v>200</v>
      </c>
      <c r="H419" s="48">
        <v>60</v>
      </c>
      <c r="I419" s="32">
        <v>12700</v>
      </c>
      <c r="J419" s="35" t="s">
        <v>68</v>
      </c>
      <c r="K419" s="32">
        <v>329.1</v>
      </c>
      <c r="L419" s="78">
        <v>76.3</v>
      </c>
      <c r="M419" s="78">
        <v>2584.5</v>
      </c>
      <c r="N419" s="78" cm="1">
        <f t="array" ref="N419:N422">M419:M422/M418</f>
        <v>1.0193255768093079</v>
      </c>
      <c r="O419" s="35" t="s">
        <v>450</v>
      </c>
    </row>
    <row r="420" spans="1:15" x14ac:dyDescent="0.25">
      <c r="A420" s="8" t="s">
        <v>462</v>
      </c>
      <c r="B420" s="32">
        <v>158</v>
      </c>
      <c r="C420" s="32">
        <v>4</v>
      </c>
      <c r="D420" s="32">
        <v>39.5</v>
      </c>
      <c r="E420" s="32">
        <v>400</v>
      </c>
      <c r="F420" s="78">
        <v>2.5316455696202533</v>
      </c>
      <c r="G420" s="32">
        <v>400</v>
      </c>
      <c r="H420" s="48">
        <v>60</v>
      </c>
      <c r="I420" s="32">
        <v>30400</v>
      </c>
      <c r="J420" s="35" t="s">
        <v>68</v>
      </c>
      <c r="K420" s="32">
        <v>329.1</v>
      </c>
      <c r="L420" s="78">
        <v>76.3</v>
      </c>
      <c r="M420" s="78">
        <v>2389</v>
      </c>
      <c r="N420" s="78">
        <v>0.94222046933543679</v>
      </c>
      <c r="O420" s="35" t="s">
        <v>450</v>
      </c>
    </row>
    <row r="421" spans="1:15" x14ac:dyDescent="0.25">
      <c r="A421" s="8" t="s">
        <v>463</v>
      </c>
      <c r="B421" s="32">
        <v>158</v>
      </c>
      <c r="C421" s="32">
        <v>4</v>
      </c>
      <c r="D421" s="32">
        <v>39.5</v>
      </c>
      <c r="E421" s="32">
        <v>400</v>
      </c>
      <c r="F421" s="78">
        <v>2.5316455696202533</v>
      </c>
      <c r="G421" s="32">
        <v>600</v>
      </c>
      <c r="H421" s="48">
        <v>60</v>
      </c>
      <c r="I421" s="32">
        <v>81200</v>
      </c>
      <c r="J421" s="35" t="s">
        <v>68</v>
      </c>
      <c r="K421" s="32">
        <v>329.1</v>
      </c>
      <c r="L421" s="78">
        <v>76.3</v>
      </c>
      <c r="M421" s="78">
        <v>2053.5</v>
      </c>
      <c r="N421" s="78">
        <v>0.80989942812068627</v>
      </c>
      <c r="O421" s="35" t="s">
        <v>450</v>
      </c>
    </row>
    <row r="422" spans="1:15" x14ac:dyDescent="0.25">
      <c r="A422" s="8" t="s">
        <v>464</v>
      </c>
      <c r="B422" s="32">
        <v>158</v>
      </c>
      <c r="C422" s="32">
        <v>4</v>
      </c>
      <c r="D422" s="32">
        <v>39.5</v>
      </c>
      <c r="E422" s="32">
        <v>400</v>
      </c>
      <c r="F422" s="78">
        <v>2.5316455696202533</v>
      </c>
      <c r="G422" s="32">
        <v>800</v>
      </c>
      <c r="H422" s="48">
        <v>60</v>
      </c>
      <c r="I422" s="32">
        <v>121000</v>
      </c>
      <c r="J422" s="35" t="s">
        <v>68</v>
      </c>
      <c r="K422" s="32">
        <v>329.1</v>
      </c>
      <c r="L422" s="78">
        <v>76.3</v>
      </c>
      <c r="M422" s="78">
        <v>1627.5</v>
      </c>
      <c r="N422" s="78">
        <v>0.64188522973772433</v>
      </c>
      <c r="O422" s="35" t="s">
        <v>450</v>
      </c>
    </row>
    <row r="423" spans="1:15" x14ac:dyDescent="0.25">
      <c r="A423" s="8" t="s">
        <v>465</v>
      </c>
      <c r="B423" s="32">
        <v>158</v>
      </c>
      <c r="C423" s="32">
        <v>4</v>
      </c>
      <c r="D423" s="32">
        <v>39.5</v>
      </c>
      <c r="E423" s="32">
        <v>400</v>
      </c>
      <c r="F423" s="78">
        <v>2.5316455696202533</v>
      </c>
      <c r="G423" s="32">
        <v>600</v>
      </c>
      <c r="H423" s="48">
        <v>30</v>
      </c>
      <c r="I423" s="32">
        <v>63800</v>
      </c>
      <c r="J423" s="79" t="s">
        <v>68</v>
      </c>
      <c r="K423" s="32">
        <v>329.1</v>
      </c>
      <c r="L423" s="78">
        <v>76.3</v>
      </c>
      <c r="M423" s="78">
        <v>1863</v>
      </c>
      <c r="N423" s="78" cm="1">
        <f t="array" ref="N423:N424">M423:M424/M418</f>
        <v>0.73476631828041805</v>
      </c>
      <c r="O423" s="35" t="s">
        <v>450</v>
      </c>
    </row>
    <row r="424" spans="1:15" x14ac:dyDescent="0.25">
      <c r="A424" s="8" t="s">
        <v>466</v>
      </c>
      <c r="B424" s="32">
        <v>158</v>
      </c>
      <c r="C424" s="32">
        <v>4</v>
      </c>
      <c r="D424" s="32">
        <v>39.5</v>
      </c>
      <c r="E424" s="32">
        <v>400</v>
      </c>
      <c r="F424" s="78">
        <v>2.5316455696202533</v>
      </c>
      <c r="G424" s="32">
        <v>600</v>
      </c>
      <c r="H424" s="80">
        <v>90</v>
      </c>
      <c r="I424" s="78">
        <v>81200</v>
      </c>
      <c r="J424" s="79" t="s">
        <v>68</v>
      </c>
      <c r="K424" s="32">
        <v>329.1</v>
      </c>
      <c r="L424" s="78">
        <v>76.3</v>
      </c>
      <c r="M424" s="78">
        <v>1927.5</v>
      </c>
      <c r="N424" s="78">
        <v>0.76020508775389473</v>
      </c>
      <c r="O424" s="35" t="s">
        <v>450</v>
      </c>
    </row>
    <row r="425" spans="1:15" x14ac:dyDescent="0.25">
      <c r="A425" s="8" t="s">
        <v>467</v>
      </c>
      <c r="B425" s="32">
        <v>158</v>
      </c>
      <c r="C425" s="32">
        <v>4</v>
      </c>
      <c r="D425" s="32">
        <v>39.5</v>
      </c>
      <c r="E425" s="32">
        <v>400</v>
      </c>
      <c r="F425" s="32">
        <v>2.5316455696202533</v>
      </c>
      <c r="G425" s="32">
        <v>600</v>
      </c>
      <c r="H425" s="48">
        <v>60</v>
      </c>
      <c r="I425" s="32">
        <v>98600</v>
      </c>
      <c r="J425" s="35" t="s">
        <v>21</v>
      </c>
      <c r="K425" s="32">
        <v>329.1</v>
      </c>
      <c r="L425" s="32">
        <v>63</v>
      </c>
      <c r="M425" s="32">
        <v>1634</v>
      </c>
      <c r="N425" s="32">
        <f>M425/M408</f>
        <v>0.76088474970896391</v>
      </c>
      <c r="O425" s="35" t="s">
        <v>450</v>
      </c>
    </row>
    <row r="426" spans="1:15" x14ac:dyDescent="0.25">
      <c r="A426" s="8" t="s">
        <v>468</v>
      </c>
      <c r="B426" s="81">
        <v>158</v>
      </c>
      <c r="C426" s="81">
        <v>4</v>
      </c>
      <c r="D426" s="81">
        <v>39.5</v>
      </c>
      <c r="E426" s="81">
        <v>400</v>
      </c>
      <c r="F426" s="81">
        <v>2.5316455696202533</v>
      </c>
      <c r="G426" s="81">
        <v>600</v>
      </c>
      <c r="H426" s="82">
        <v>60</v>
      </c>
      <c r="I426" s="81">
        <v>98600</v>
      </c>
      <c r="J426" s="83" t="s">
        <v>21</v>
      </c>
      <c r="K426" s="81">
        <v>329.1</v>
      </c>
      <c r="L426" s="84">
        <v>72.44</v>
      </c>
      <c r="M426" s="81">
        <v>1684.5</v>
      </c>
      <c r="N426" s="81">
        <f>M426/M413</f>
        <v>0.77076183939601917</v>
      </c>
      <c r="O426" s="83" t="s">
        <v>450</v>
      </c>
    </row>
    <row r="427" spans="1:15" x14ac:dyDescent="0.25">
      <c r="A427" s="85" t="s">
        <v>469</v>
      </c>
      <c r="B427" s="60">
        <v>121</v>
      </c>
      <c r="C427" s="60">
        <v>4.5</v>
      </c>
      <c r="D427" s="60" cm="1">
        <f t="array" ref="D427:D451">B427:B451/C427:C451</f>
        <v>26.888888888888889</v>
      </c>
      <c r="E427" s="60">
        <v>363</v>
      </c>
      <c r="F427" s="60" cm="1">
        <f t="array" ref="F427:F451">E427:E451/B427:B451</f>
        <v>3</v>
      </c>
      <c r="G427" s="60">
        <v>20</v>
      </c>
      <c r="H427" s="61">
        <v>0</v>
      </c>
      <c r="I427" s="61">
        <v>0</v>
      </c>
      <c r="J427" s="62" t="s">
        <v>16</v>
      </c>
      <c r="K427" s="60">
        <v>238</v>
      </c>
      <c r="L427" s="60">
        <v>49</v>
      </c>
      <c r="M427" s="60">
        <v>1273</v>
      </c>
      <c r="N427" s="109">
        <f t="shared" ref="N427:N431" si="11">1</f>
        <v>1</v>
      </c>
      <c r="O427" s="60" t="s">
        <v>470</v>
      </c>
    </row>
    <row r="428" spans="1:15" x14ac:dyDescent="0.25">
      <c r="A428" s="85" t="s">
        <v>471</v>
      </c>
      <c r="B428" s="60">
        <v>121</v>
      </c>
      <c r="C428" s="60">
        <v>4.5</v>
      </c>
      <c r="D428" s="60">
        <v>26.888888888888889</v>
      </c>
      <c r="E428" s="60">
        <v>363</v>
      </c>
      <c r="F428" s="60">
        <v>3</v>
      </c>
      <c r="G428" s="60">
        <v>20</v>
      </c>
      <c r="H428" s="61">
        <v>0</v>
      </c>
      <c r="I428" s="61">
        <v>0</v>
      </c>
      <c r="J428" s="62" t="s">
        <v>16</v>
      </c>
      <c r="K428" s="60">
        <v>238</v>
      </c>
      <c r="L428" s="60">
        <v>48.5</v>
      </c>
      <c r="M428" s="60">
        <v>1221.7</v>
      </c>
      <c r="N428" s="109">
        <f t="shared" si="11"/>
        <v>1</v>
      </c>
      <c r="O428" s="60" t="s">
        <v>470</v>
      </c>
    </row>
    <row r="429" spans="1:15" x14ac:dyDescent="0.25">
      <c r="A429" s="85" t="s">
        <v>472</v>
      </c>
      <c r="B429" s="60">
        <v>121</v>
      </c>
      <c r="C429" s="60">
        <v>4.5</v>
      </c>
      <c r="D429" s="60">
        <v>26.888888888888889</v>
      </c>
      <c r="E429" s="60">
        <v>363</v>
      </c>
      <c r="F429" s="60">
        <v>3</v>
      </c>
      <c r="G429" s="60">
        <v>20</v>
      </c>
      <c r="H429" s="61">
        <v>0</v>
      </c>
      <c r="I429" s="61">
        <v>0</v>
      </c>
      <c r="J429" s="62" t="s">
        <v>16</v>
      </c>
      <c r="K429" s="60">
        <v>238</v>
      </c>
      <c r="L429" s="60">
        <v>43</v>
      </c>
      <c r="M429" s="60">
        <v>1160.8</v>
      </c>
      <c r="N429" s="109">
        <f t="shared" si="11"/>
        <v>1</v>
      </c>
      <c r="O429" s="60" t="s">
        <v>470</v>
      </c>
    </row>
    <row r="430" spans="1:15" x14ac:dyDescent="0.25">
      <c r="A430" s="85" t="s">
        <v>473</v>
      </c>
      <c r="B430" s="60">
        <v>121</v>
      </c>
      <c r="C430" s="60">
        <v>4.5</v>
      </c>
      <c r="D430" s="60">
        <v>26.888888888888889</v>
      </c>
      <c r="E430" s="60">
        <v>363</v>
      </c>
      <c r="F430" s="60">
        <v>3</v>
      </c>
      <c r="G430" s="60">
        <v>20</v>
      </c>
      <c r="H430" s="61">
        <v>0</v>
      </c>
      <c r="I430" s="61">
        <v>0</v>
      </c>
      <c r="J430" s="62" t="s">
        <v>16</v>
      </c>
      <c r="K430" s="60">
        <v>238</v>
      </c>
      <c r="L430" s="60">
        <v>42.5</v>
      </c>
      <c r="M430" s="60">
        <v>1212.4000000000001</v>
      </c>
      <c r="N430" s="109">
        <f t="shared" si="11"/>
        <v>1</v>
      </c>
      <c r="O430" s="60" t="s">
        <v>470</v>
      </c>
    </row>
    <row r="431" spans="1:15" x14ac:dyDescent="0.25">
      <c r="A431" s="85" t="s">
        <v>474</v>
      </c>
      <c r="B431" s="60">
        <v>121</v>
      </c>
      <c r="C431" s="60">
        <v>4.5</v>
      </c>
      <c r="D431" s="60">
        <v>26.888888888888889</v>
      </c>
      <c r="E431" s="60">
        <v>363</v>
      </c>
      <c r="F431" s="60">
        <v>3</v>
      </c>
      <c r="G431" s="60">
        <v>20</v>
      </c>
      <c r="H431" s="61">
        <v>0</v>
      </c>
      <c r="I431" s="61">
        <v>0</v>
      </c>
      <c r="J431" s="62" t="s">
        <v>16</v>
      </c>
      <c r="K431" s="60">
        <v>238</v>
      </c>
      <c r="L431" s="60">
        <v>43.5</v>
      </c>
      <c r="M431" s="60">
        <v>1177.0999999999999</v>
      </c>
      <c r="N431" s="109">
        <f t="shared" si="11"/>
        <v>1</v>
      </c>
      <c r="O431" s="60" t="s">
        <v>470</v>
      </c>
    </row>
    <row r="432" spans="1:15" x14ac:dyDescent="0.25">
      <c r="A432" s="85" t="s">
        <v>475</v>
      </c>
      <c r="B432" s="60">
        <v>121</v>
      </c>
      <c r="C432" s="60">
        <v>4.5</v>
      </c>
      <c r="D432" s="60">
        <v>26.888888888888889</v>
      </c>
      <c r="E432" s="60">
        <v>363</v>
      </c>
      <c r="F432" s="60">
        <v>3</v>
      </c>
      <c r="G432" s="60">
        <v>300</v>
      </c>
      <c r="H432" s="61">
        <f t="shared" ref="H432:H436" si="12">56+120</f>
        <v>176</v>
      </c>
      <c r="I432" s="60">
        <v>41440</v>
      </c>
      <c r="J432" s="62" t="s">
        <v>21</v>
      </c>
      <c r="K432" s="60">
        <v>238</v>
      </c>
      <c r="L432" s="60">
        <v>49</v>
      </c>
      <c r="M432" s="60">
        <v>1308.7</v>
      </c>
      <c r="N432" s="60" cm="1">
        <f t="array" ref="N432:N436">M432:M436/M427:M431</f>
        <v>1.0280439905734486</v>
      </c>
      <c r="O432" s="60" t="s">
        <v>470</v>
      </c>
    </row>
    <row r="433" spans="1:15" x14ac:dyDescent="0.25">
      <c r="A433" s="85" t="s">
        <v>476</v>
      </c>
      <c r="B433" s="60">
        <v>121</v>
      </c>
      <c r="C433" s="60">
        <v>4.5</v>
      </c>
      <c r="D433" s="60">
        <v>26.888888888888889</v>
      </c>
      <c r="E433" s="60">
        <v>363</v>
      </c>
      <c r="F433" s="60">
        <v>3</v>
      </c>
      <c r="G433" s="60">
        <v>300</v>
      </c>
      <c r="H433" s="61">
        <f t="shared" si="12"/>
        <v>176</v>
      </c>
      <c r="I433" s="60">
        <v>41440</v>
      </c>
      <c r="J433" s="62" t="s">
        <v>21</v>
      </c>
      <c r="K433" s="60">
        <v>238</v>
      </c>
      <c r="L433" s="60">
        <v>48.5</v>
      </c>
      <c r="M433" s="60">
        <v>1284.7</v>
      </c>
      <c r="N433" s="60">
        <v>1.0515674879266597</v>
      </c>
      <c r="O433" s="60" t="s">
        <v>470</v>
      </c>
    </row>
    <row r="434" spans="1:15" x14ac:dyDescent="0.25">
      <c r="A434" s="85" t="s">
        <v>477</v>
      </c>
      <c r="B434" s="60">
        <v>121</v>
      </c>
      <c r="C434" s="60">
        <v>4.5</v>
      </c>
      <c r="D434" s="60">
        <v>26.888888888888889</v>
      </c>
      <c r="E434" s="60">
        <v>363</v>
      </c>
      <c r="F434" s="60">
        <v>3</v>
      </c>
      <c r="G434" s="60">
        <v>300</v>
      </c>
      <c r="H434" s="61">
        <f t="shared" si="12"/>
        <v>176</v>
      </c>
      <c r="I434" s="60">
        <v>41440</v>
      </c>
      <c r="J434" s="62" t="s">
        <v>21</v>
      </c>
      <c r="K434" s="60">
        <v>238</v>
      </c>
      <c r="L434" s="60">
        <v>43</v>
      </c>
      <c r="M434" s="60">
        <v>1192.9000000000001</v>
      </c>
      <c r="N434" s="60">
        <v>1.0276533425223984</v>
      </c>
      <c r="O434" s="60" t="s">
        <v>470</v>
      </c>
    </row>
    <row r="435" spans="1:15" x14ac:dyDescent="0.25">
      <c r="A435" s="85" t="s">
        <v>478</v>
      </c>
      <c r="B435" s="60">
        <v>121</v>
      </c>
      <c r="C435" s="60">
        <v>4.5</v>
      </c>
      <c r="D435" s="60">
        <v>26.888888888888889</v>
      </c>
      <c r="E435" s="60">
        <v>363</v>
      </c>
      <c r="F435" s="60">
        <v>3</v>
      </c>
      <c r="G435" s="60">
        <v>300</v>
      </c>
      <c r="H435" s="61">
        <f t="shared" si="12"/>
        <v>176</v>
      </c>
      <c r="I435" s="60">
        <v>41440</v>
      </c>
      <c r="J435" s="62" t="s">
        <v>21</v>
      </c>
      <c r="K435" s="60">
        <v>238</v>
      </c>
      <c r="L435" s="60">
        <v>42.5</v>
      </c>
      <c r="M435" s="60">
        <v>1306</v>
      </c>
      <c r="N435" s="60">
        <v>1.0772022434839985</v>
      </c>
      <c r="O435" s="60" t="s">
        <v>470</v>
      </c>
    </row>
    <row r="436" spans="1:15" x14ac:dyDescent="0.25">
      <c r="A436" s="85" t="s">
        <v>479</v>
      </c>
      <c r="B436" s="60">
        <v>121</v>
      </c>
      <c r="C436" s="60">
        <v>4.5</v>
      </c>
      <c r="D436" s="60">
        <v>26.888888888888889</v>
      </c>
      <c r="E436" s="60">
        <v>363</v>
      </c>
      <c r="F436" s="60">
        <v>3</v>
      </c>
      <c r="G436" s="60">
        <v>300</v>
      </c>
      <c r="H436" s="61">
        <f t="shared" si="12"/>
        <v>176</v>
      </c>
      <c r="I436" s="60">
        <v>41440</v>
      </c>
      <c r="J436" s="62" t="s">
        <v>21</v>
      </c>
      <c r="K436" s="60">
        <v>238</v>
      </c>
      <c r="L436" s="60">
        <v>43.5</v>
      </c>
      <c r="M436" s="60">
        <v>1186.2</v>
      </c>
      <c r="N436" s="60">
        <v>1.0077308639877667</v>
      </c>
      <c r="O436" s="60" t="s">
        <v>470</v>
      </c>
    </row>
    <row r="437" spans="1:15" x14ac:dyDescent="0.25">
      <c r="A437" s="85" t="s">
        <v>480</v>
      </c>
      <c r="B437" s="60">
        <v>121</v>
      </c>
      <c r="C437" s="60">
        <v>4.5</v>
      </c>
      <c r="D437" s="60">
        <v>26.888888888888889</v>
      </c>
      <c r="E437" s="60">
        <v>363</v>
      </c>
      <c r="F437" s="60">
        <v>3</v>
      </c>
      <c r="G437" s="60">
        <v>500</v>
      </c>
      <c r="H437" s="61">
        <f>96+120</f>
        <v>216</v>
      </c>
      <c r="I437" s="60">
        <v>80640</v>
      </c>
      <c r="J437" s="62" t="s">
        <v>21</v>
      </c>
      <c r="K437" s="60">
        <v>238</v>
      </c>
      <c r="L437" s="60">
        <v>49</v>
      </c>
      <c r="M437" s="60">
        <v>1364.3</v>
      </c>
      <c r="N437" s="60" cm="1">
        <f t="array" ref="N437:N441">M437:M441/M427:M431</f>
        <v>1.07172034564022</v>
      </c>
      <c r="O437" s="60" t="s">
        <v>470</v>
      </c>
    </row>
    <row r="438" spans="1:15" x14ac:dyDescent="0.25">
      <c r="A438" s="85" t="s">
        <v>481</v>
      </c>
      <c r="B438" s="60">
        <v>121</v>
      </c>
      <c r="C438" s="60">
        <v>4.5</v>
      </c>
      <c r="D438" s="60">
        <v>26.888888888888889</v>
      </c>
      <c r="E438" s="60">
        <v>363</v>
      </c>
      <c r="F438" s="60">
        <v>3</v>
      </c>
      <c r="G438" s="60">
        <v>500</v>
      </c>
      <c r="H438" s="61">
        <f>96+120</f>
        <v>216</v>
      </c>
      <c r="I438" s="60">
        <v>80640</v>
      </c>
      <c r="J438" s="62" t="s">
        <v>21</v>
      </c>
      <c r="K438" s="60">
        <v>238</v>
      </c>
      <c r="L438" s="60">
        <v>48.5</v>
      </c>
      <c r="M438" s="60">
        <v>1347.5</v>
      </c>
      <c r="N438" s="60">
        <v>1.1029712695424407</v>
      </c>
      <c r="O438" s="60" t="s">
        <v>470</v>
      </c>
    </row>
    <row r="439" spans="1:15" x14ac:dyDescent="0.25">
      <c r="A439" s="85" t="s">
        <v>482</v>
      </c>
      <c r="B439" s="60">
        <v>121</v>
      </c>
      <c r="C439" s="60">
        <v>4.5</v>
      </c>
      <c r="D439" s="60">
        <v>26.888888888888889</v>
      </c>
      <c r="E439" s="60">
        <v>363</v>
      </c>
      <c r="F439" s="60">
        <v>3</v>
      </c>
      <c r="G439" s="60">
        <v>500</v>
      </c>
      <c r="H439" s="61">
        <f>96+120</f>
        <v>216</v>
      </c>
      <c r="I439" s="60">
        <v>80640</v>
      </c>
      <c r="J439" s="62" t="s">
        <v>21</v>
      </c>
      <c r="K439" s="60">
        <v>238</v>
      </c>
      <c r="L439" s="60">
        <v>43</v>
      </c>
      <c r="M439" s="60">
        <v>1295.5999999999999</v>
      </c>
      <c r="N439" s="60">
        <v>1.1161268090971743</v>
      </c>
      <c r="O439" s="60" t="s">
        <v>470</v>
      </c>
    </row>
    <row r="440" spans="1:15" x14ac:dyDescent="0.25">
      <c r="A440" s="85" t="s">
        <v>483</v>
      </c>
      <c r="B440" s="60">
        <v>121</v>
      </c>
      <c r="C440" s="60">
        <v>4.5</v>
      </c>
      <c r="D440" s="60">
        <v>26.888888888888889</v>
      </c>
      <c r="E440" s="60">
        <v>363</v>
      </c>
      <c r="F440" s="60">
        <v>3</v>
      </c>
      <c r="G440" s="60">
        <v>500</v>
      </c>
      <c r="H440" s="61">
        <f>96+120</f>
        <v>216</v>
      </c>
      <c r="I440" s="60">
        <v>80640</v>
      </c>
      <c r="J440" s="62" t="s">
        <v>21</v>
      </c>
      <c r="K440" s="60">
        <v>238</v>
      </c>
      <c r="L440" s="60">
        <v>42.5</v>
      </c>
      <c r="M440" s="60">
        <v>1219.3</v>
      </c>
      <c r="N440" s="60">
        <v>1.005691191026064</v>
      </c>
      <c r="O440" s="60" t="s">
        <v>470</v>
      </c>
    </row>
    <row r="441" spans="1:15" x14ac:dyDescent="0.25">
      <c r="A441" s="85" t="s">
        <v>484</v>
      </c>
      <c r="B441" s="60">
        <v>121</v>
      </c>
      <c r="C441" s="60">
        <v>4.5</v>
      </c>
      <c r="D441" s="60">
        <v>26.888888888888889</v>
      </c>
      <c r="E441" s="60">
        <v>363</v>
      </c>
      <c r="F441" s="60">
        <v>3</v>
      </c>
      <c r="G441" s="60">
        <v>500</v>
      </c>
      <c r="H441" s="61">
        <f>96+120</f>
        <v>216</v>
      </c>
      <c r="I441" s="60">
        <v>80640</v>
      </c>
      <c r="J441" s="62" t="s">
        <v>21</v>
      </c>
      <c r="K441" s="60">
        <v>238</v>
      </c>
      <c r="L441" s="60">
        <v>43.5</v>
      </c>
      <c r="M441" s="60">
        <v>1235.7</v>
      </c>
      <c r="N441" s="60">
        <v>1.0497833658992439</v>
      </c>
      <c r="O441" s="60" t="s">
        <v>470</v>
      </c>
    </row>
    <row r="442" spans="1:15" x14ac:dyDescent="0.25">
      <c r="A442" s="85" t="s">
        <v>485</v>
      </c>
      <c r="B442" s="60">
        <v>121</v>
      </c>
      <c r="C442" s="60">
        <v>4.5</v>
      </c>
      <c r="D442" s="60">
        <v>26.888888888888889</v>
      </c>
      <c r="E442" s="60">
        <v>363</v>
      </c>
      <c r="F442" s="60">
        <v>3</v>
      </c>
      <c r="G442" s="60">
        <v>800</v>
      </c>
      <c r="H442" s="61">
        <f>156+120</f>
        <v>276</v>
      </c>
      <c r="I442" s="60">
        <v>154440</v>
      </c>
      <c r="J442" s="62" t="s">
        <v>21</v>
      </c>
      <c r="K442" s="60">
        <v>238</v>
      </c>
      <c r="L442" s="60">
        <v>49</v>
      </c>
      <c r="M442" s="60">
        <v>1127.9000000000001</v>
      </c>
      <c r="N442" s="60" cm="1">
        <f t="array" ref="N442:N446">M442:M446/M427:M431</f>
        <v>0.88601728201099772</v>
      </c>
      <c r="O442" s="60" t="s">
        <v>470</v>
      </c>
    </row>
    <row r="443" spans="1:15" x14ac:dyDescent="0.25">
      <c r="A443" s="85" t="s">
        <v>486</v>
      </c>
      <c r="B443" s="60">
        <v>121</v>
      </c>
      <c r="C443" s="60">
        <v>4.5</v>
      </c>
      <c r="D443" s="60">
        <v>26.888888888888889</v>
      </c>
      <c r="E443" s="60">
        <v>363</v>
      </c>
      <c r="F443" s="60">
        <v>3</v>
      </c>
      <c r="G443" s="60">
        <v>800</v>
      </c>
      <c r="H443" s="61">
        <f>156+120</f>
        <v>276</v>
      </c>
      <c r="I443" s="60">
        <v>154440</v>
      </c>
      <c r="J443" s="62" t="s">
        <v>21</v>
      </c>
      <c r="K443" s="60">
        <v>238</v>
      </c>
      <c r="L443" s="60">
        <v>48.5</v>
      </c>
      <c r="M443" s="60">
        <v>1124.4000000000001</v>
      </c>
      <c r="N443" s="60">
        <v>0.92035687975771474</v>
      </c>
      <c r="O443" s="60" t="s">
        <v>470</v>
      </c>
    </row>
    <row r="444" spans="1:15" x14ac:dyDescent="0.25">
      <c r="A444" s="85" t="s">
        <v>487</v>
      </c>
      <c r="B444" s="60">
        <v>121</v>
      </c>
      <c r="C444" s="60">
        <v>4.5</v>
      </c>
      <c r="D444" s="60">
        <v>26.888888888888889</v>
      </c>
      <c r="E444" s="60">
        <v>363</v>
      </c>
      <c r="F444" s="60">
        <v>3</v>
      </c>
      <c r="G444" s="60">
        <v>800</v>
      </c>
      <c r="H444" s="61">
        <f>156+120</f>
        <v>276</v>
      </c>
      <c r="I444" s="60">
        <v>154440</v>
      </c>
      <c r="J444" s="62" t="s">
        <v>21</v>
      </c>
      <c r="K444" s="60">
        <v>238</v>
      </c>
      <c r="L444" s="60">
        <v>43</v>
      </c>
      <c r="M444" s="60">
        <v>1043.5999999999999</v>
      </c>
      <c r="N444" s="60">
        <v>0.89903514817367325</v>
      </c>
      <c r="O444" s="60" t="s">
        <v>470</v>
      </c>
    </row>
    <row r="445" spans="1:15" x14ac:dyDescent="0.25">
      <c r="A445" s="85" t="s">
        <v>488</v>
      </c>
      <c r="B445" s="60">
        <v>121</v>
      </c>
      <c r="C445" s="60">
        <v>4.5</v>
      </c>
      <c r="D445" s="60">
        <v>26.888888888888889</v>
      </c>
      <c r="E445" s="60">
        <v>363</v>
      </c>
      <c r="F445" s="60">
        <v>3</v>
      </c>
      <c r="G445" s="60">
        <v>800</v>
      </c>
      <c r="H445" s="61">
        <f>156+120</f>
        <v>276</v>
      </c>
      <c r="I445" s="60">
        <v>154440</v>
      </c>
      <c r="J445" s="62" t="s">
        <v>21</v>
      </c>
      <c r="K445" s="60">
        <v>238</v>
      </c>
      <c r="L445" s="60">
        <v>42.5</v>
      </c>
      <c r="M445" s="60">
        <v>1024</v>
      </c>
      <c r="N445" s="60">
        <v>0.84460574067964367</v>
      </c>
      <c r="O445" s="60" t="s">
        <v>470</v>
      </c>
    </row>
    <row r="446" spans="1:15" x14ac:dyDescent="0.25">
      <c r="A446" s="85" t="s">
        <v>489</v>
      </c>
      <c r="B446" s="60">
        <v>121</v>
      </c>
      <c r="C446" s="60">
        <v>4.5</v>
      </c>
      <c r="D446" s="60">
        <v>26.888888888888889</v>
      </c>
      <c r="E446" s="60">
        <v>363</v>
      </c>
      <c r="F446" s="60">
        <v>3</v>
      </c>
      <c r="G446" s="60">
        <v>800</v>
      </c>
      <c r="H446" s="61">
        <f>156+120</f>
        <v>276</v>
      </c>
      <c r="I446" s="60">
        <v>154440</v>
      </c>
      <c r="J446" s="62" t="s">
        <v>21</v>
      </c>
      <c r="K446" s="60">
        <v>238</v>
      </c>
      <c r="L446" s="60">
        <v>43.5</v>
      </c>
      <c r="M446" s="60">
        <v>1012.1</v>
      </c>
      <c r="N446" s="60">
        <v>0.85982499362840892</v>
      </c>
      <c r="O446" s="60" t="s">
        <v>470</v>
      </c>
    </row>
    <row r="447" spans="1:15" x14ac:dyDescent="0.25">
      <c r="A447" s="85" t="s">
        <v>490</v>
      </c>
      <c r="B447" s="60">
        <v>121</v>
      </c>
      <c r="C447" s="60">
        <v>4.5</v>
      </c>
      <c r="D447" s="60">
        <v>26.888888888888889</v>
      </c>
      <c r="E447" s="60">
        <v>363</v>
      </c>
      <c r="F447" s="60">
        <v>3</v>
      </c>
      <c r="G447" s="60">
        <v>300</v>
      </c>
      <c r="H447" s="61">
        <f>56+120</f>
        <v>176</v>
      </c>
      <c r="I447" s="60">
        <v>41440</v>
      </c>
      <c r="J447" s="62" t="s">
        <v>68</v>
      </c>
      <c r="K447" s="60">
        <v>238</v>
      </c>
      <c r="L447" s="60">
        <v>43</v>
      </c>
      <c r="M447" s="60">
        <v>1170.3</v>
      </c>
      <c r="N447" s="60" cm="1">
        <f t="array" ref="N447:N448">M447:M448/1212.4</f>
        <v>0.96527548663807317</v>
      </c>
      <c r="O447" s="60" t="s">
        <v>470</v>
      </c>
    </row>
    <row r="448" spans="1:15" x14ac:dyDescent="0.25">
      <c r="A448" s="85" t="s">
        <v>491</v>
      </c>
      <c r="B448" s="60">
        <v>121</v>
      </c>
      <c r="C448" s="60">
        <v>4.5</v>
      </c>
      <c r="D448" s="60">
        <v>26.888888888888889</v>
      </c>
      <c r="E448" s="60">
        <v>363</v>
      </c>
      <c r="F448" s="60">
        <v>3</v>
      </c>
      <c r="G448" s="60">
        <v>500</v>
      </c>
      <c r="H448" s="61">
        <f t="shared" ref="H448:H451" si="13">96+120</f>
        <v>216</v>
      </c>
      <c r="I448" s="60">
        <v>80640</v>
      </c>
      <c r="J448" s="62" t="s">
        <v>68</v>
      </c>
      <c r="K448" s="60">
        <v>238</v>
      </c>
      <c r="L448" s="60">
        <v>43</v>
      </c>
      <c r="M448" s="60">
        <v>1137.9000000000001</v>
      </c>
      <c r="N448" s="60">
        <v>0.93855163312438139</v>
      </c>
      <c r="O448" s="60" t="s">
        <v>470</v>
      </c>
    </row>
    <row r="449" spans="1:15" x14ac:dyDescent="0.25">
      <c r="A449" s="85" t="s">
        <v>492</v>
      </c>
      <c r="B449" s="60">
        <v>121</v>
      </c>
      <c r="C449" s="60">
        <v>4.5</v>
      </c>
      <c r="D449" s="60">
        <v>26.888888888888889</v>
      </c>
      <c r="E449" s="60">
        <v>363</v>
      </c>
      <c r="F449" s="60">
        <v>3</v>
      </c>
      <c r="G449" s="60">
        <v>500</v>
      </c>
      <c r="H449" s="61">
        <f t="shared" si="13"/>
        <v>216</v>
      </c>
      <c r="I449" s="60">
        <v>80640</v>
      </c>
      <c r="J449" s="62" t="s">
        <v>68</v>
      </c>
      <c r="K449" s="60">
        <v>238</v>
      </c>
      <c r="L449" s="60">
        <v>48</v>
      </c>
      <c r="M449" s="60">
        <v>1312</v>
      </c>
      <c r="N449" s="60">
        <f>M449/M427</f>
        <v>1.0306362922230949</v>
      </c>
      <c r="O449" s="60" t="s">
        <v>470</v>
      </c>
    </row>
    <row r="450" spans="1:15" x14ac:dyDescent="0.25">
      <c r="A450" s="85" t="s">
        <v>493</v>
      </c>
      <c r="B450" s="60">
        <v>121</v>
      </c>
      <c r="C450" s="60">
        <v>4.5</v>
      </c>
      <c r="D450" s="60">
        <v>26.888888888888889</v>
      </c>
      <c r="E450" s="60">
        <v>363</v>
      </c>
      <c r="F450" s="60">
        <v>3</v>
      </c>
      <c r="G450" s="60">
        <v>500</v>
      </c>
      <c r="H450" s="61">
        <f t="shared" si="13"/>
        <v>216</v>
      </c>
      <c r="I450" s="60">
        <v>80640</v>
      </c>
      <c r="J450" s="62" t="s">
        <v>68</v>
      </c>
      <c r="K450" s="60">
        <v>238</v>
      </c>
      <c r="L450" s="60">
        <v>43.5</v>
      </c>
      <c r="M450" s="60">
        <v>1115.7</v>
      </c>
      <c r="N450" s="60">
        <f>M450/M431</f>
        <v>0.94783790671990498</v>
      </c>
      <c r="O450" s="60" t="s">
        <v>470</v>
      </c>
    </row>
    <row r="451" spans="1:15" x14ac:dyDescent="0.25">
      <c r="A451" s="85" t="s">
        <v>494</v>
      </c>
      <c r="B451" s="60">
        <v>121</v>
      </c>
      <c r="C451" s="60">
        <v>4.5</v>
      </c>
      <c r="D451" s="60">
        <v>26.888888888888889</v>
      </c>
      <c r="E451" s="60">
        <v>363</v>
      </c>
      <c r="F451" s="60">
        <v>3</v>
      </c>
      <c r="G451" s="60">
        <v>500</v>
      </c>
      <c r="H451" s="61">
        <f t="shared" si="13"/>
        <v>216</v>
      </c>
      <c r="I451" s="60">
        <v>80640</v>
      </c>
      <c r="J451" s="62" t="s">
        <v>68</v>
      </c>
      <c r="K451" s="60">
        <v>238</v>
      </c>
      <c r="L451" s="60">
        <v>48</v>
      </c>
      <c r="M451" s="60">
        <v>1187.9000000000001</v>
      </c>
      <c r="N451" s="60">
        <f>M451/M428</f>
        <v>0.97233363346156998</v>
      </c>
      <c r="O451" s="60" t="s">
        <v>470</v>
      </c>
    </row>
    <row r="461" spans="1:15" x14ac:dyDescent="0.25">
      <c r="K461" s="86"/>
      <c r="L461" s="86"/>
      <c r="M461" s="86"/>
      <c r="N461" s="86"/>
    </row>
    <row r="462" spans="1:15" x14ac:dyDescent="0.25">
      <c r="K462" s="87"/>
      <c r="L462" s="87"/>
      <c r="M462" s="87"/>
      <c r="N462" s="87"/>
    </row>
    <row r="463" spans="1:15" x14ac:dyDescent="0.25">
      <c r="K463" s="87"/>
      <c r="L463" s="87"/>
      <c r="M463" s="87"/>
      <c r="N463" s="87"/>
    </row>
    <row r="464" spans="1:15" x14ac:dyDescent="0.25">
      <c r="K464" s="87"/>
      <c r="L464" s="87"/>
      <c r="M464" s="87"/>
      <c r="N464" s="87"/>
    </row>
    <row r="465" spans="11:14" x14ac:dyDescent="0.25">
      <c r="K465" s="87"/>
      <c r="L465" s="87"/>
      <c r="M465" s="87"/>
      <c r="N465" s="87"/>
    </row>
    <row r="466" spans="11:14" x14ac:dyDescent="0.25">
      <c r="K466" s="87"/>
      <c r="L466" s="87"/>
      <c r="M466" s="87"/>
      <c r="N466" s="87"/>
    </row>
    <row r="467" spans="11:14" x14ac:dyDescent="0.25">
      <c r="K467" s="87"/>
      <c r="L467" s="87"/>
      <c r="M467" s="87"/>
      <c r="N467" s="87"/>
    </row>
    <row r="468" spans="11:14" x14ac:dyDescent="0.25">
      <c r="K468" s="87"/>
      <c r="L468" s="87"/>
      <c r="M468" s="87"/>
      <c r="N468" s="87"/>
    </row>
    <row r="469" spans="11:14" x14ac:dyDescent="0.25">
      <c r="K469" s="87"/>
      <c r="L469" s="87"/>
      <c r="M469" s="87"/>
      <c r="N469" s="87"/>
    </row>
    <row r="470" spans="11:14" x14ac:dyDescent="0.25">
      <c r="K470" s="87"/>
      <c r="L470" s="87"/>
      <c r="M470" s="87"/>
      <c r="N470" s="87"/>
    </row>
    <row r="471" spans="11:14" x14ac:dyDescent="0.25">
      <c r="K471" s="87"/>
      <c r="L471" s="87"/>
      <c r="M471" s="87"/>
      <c r="N471" s="87"/>
    </row>
    <row r="472" spans="11:14" x14ac:dyDescent="0.25">
      <c r="K472" s="87"/>
      <c r="L472" s="87"/>
      <c r="M472" s="87"/>
      <c r="N472" s="87"/>
    </row>
    <row r="473" spans="11:14" x14ac:dyDescent="0.25">
      <c r="K473" s="87"/>
      <c r="L473" s="87"/>
      <c r="M473" s="87"/>
      <c r="N473" s="87"/>
    </row>
    <row r="474" spans="11:14" x14ac:dyDescent="0.25">
      <c r="K474" s="87"/>
      <c r="L474" s="87"/>
      <c r="M474" s="87"/>
      <c r="N474" s="87"/>
    </row>
    <row r="475" spans="11:14" x14ac:dyDescent="0.25">
      <c r="K475" s="87"/>
      <c r="L475" s="87"/>
      <c r="M475" s="87"/>
      <c r="N475" s="87"/>
    </row>
    <row r="476" spans="11:14" x14ac:dyDescent="0.25">
      <c r="K476" s="87"/>
      <c r="L476" s="87"/>
      <c r="M476" s="87"/>
      <c r="N476" s="87"/>
    </row>
    <row r="477" spans="11:14" x14ac:dyDescent="0.25">
      <c r="K477" s="87"/>
      <c r="L477" s="87"/>
      <c r="M477" s="87"/>
      <c r="N477" s="87"/>
    </row>
    <row r="478" spans="11:14" x14ac:dyDescent="0.25">
      <c r="K478" s="87"/>
      <c r="L478" s="87"/>
      <c r="M478" s="87"/>
      <c r="N478" s="87"/>
    </row>
    <row r="479" spans="11:14" x14ac:dyDescent="0.25">
      <c r="K479" s="87"/>
      <c r="L479" s="87"/>
      <c r="M479" s="87"/>
      <c r="N479" s="87"/>
    </row>
    <row r="480" spans="11:14" x14ac:dyDescent="0.25">
      <c r="K480" s="87"/>
      <c r="L480" s="87"/>
      <c r="M480" s="87"/>
      <c r="N480" s="87"/>
    </row>
    <row r="481" spans="11:14" x14ac:dyDescent="0.25">
      <c r="K481" s="87"/>
      <c r="L481" s="87"/>
      <c r="M481" s="87"/>
      <c r="N481" s="87"/>
    </row>
    <row r="482" spans="11:14" x14ac:dyDescent="0.25">
      <c r="K482" s="87"/>
      <c r="L482" s="87"/>
      <c r="M482" s="87"/>
      <c r="N482" s="87"/>
    </row>
    <row r="483" spans="11:14" x14ac:dyDescent="0.25">
      <c r="K483" s="87"/>
      <c r="L483" s="87"/>
      <c r="M483" s="87"/>
      <c r="N483" s="87"/>
    </row>
    <row r="484" spans="11:14" x14ac:dyDescent="0.25">
      <c r="K484" s="87"/>
      <c r="L484" s="87"/>
      <c r="M484" s="87"/>
      <c r="N484" s="87"/>
    </row>
    <row r="485" spans="11:14" x14ac:dyDescent="0.25">
      <c r="K485" s="87"/>
      <c r="L485" s="87"/>
      <c r="M485" s="87"/>
      <c r="N485" s="87"/>
    </row>
    <row r="486" spans="11:14" x14ac:dyDescent="0.25">
      <c r="K486" s="87"/>
      <c r="L486" s="87"/>
      <c r="M486" s="87"/>
      <c r="N486" s="87"/>
    </row>
  </sheetData>
  <autoFilter ref="J1:N486" xr:uid="{00000000-0001-0000-0000-000000000000}"/>
  <mergeCells count="10">
    <mergeCell ref="P2:P26"/>
    <mergeCell ref="P59:P77"/>
    <mergeCell ref="P78:P87"/>
    <mergeCell ref="P88:P114"/>
    <mergeCell ref="P163:P171"/>
    <mergeCell ref="P172:P201"/>
    <mergeCell ref="P202:P231"/>
    <mergeCell ref="P232:P243"/>
    <mergeCell ref="P251:P277"/>
    <mergeCell ref="P278:P289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Zhong Yu</cp:lastModifiedBy>
  <dcterms:created xsi:type="dcterms:W3CDTF">2026-06-30T09:56:00Z</dcterms:created>
  <dcterms:modified xsi:type="dcterms:W3CDTF">2026-10-04T09:07:04Z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CB5FF403DEB142F3B43EC26805A4C147_12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